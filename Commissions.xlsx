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Commissions 2026" sheetId="1" r:id="rId5"/>
    <sheet state="visible" name="Brett 2026" sheetId="2" r:id="rId6"/>
    <sheet state="visible" name="Drew 2026" sheetId="3" r:id="rId7"/>
    <sheet state="visible" name="James 2026" sheetId="4" r:id="rId8"/>
    <sheet state="visible" name="Mike 2026" sheetId="5" r:id="rId9"/>
    <sheet state="visible" name="Total Commissions 2025" sheetId="6" r:id="rId10"/>
    <sheet state="visible" name="Drew 2025" sheetId="7" r:id="rId11"/>
    <sheet state="visible" name="James 2025" sheetId="8" r:id="rId12"/>
    <sheet state="hidden" name="Will" sheetId="9" r:id="rId13"/>
    <sheet state="visible" name="Brett 2025" sheetId="10" r:id="rId14"/>
    <sheet state="visible" name="Geoff 2025" sheetId="11" r:id="rId15"/>
    <sheet state="visible" name="Adam 2025" sheetId="12" r:id="rId16"/>
  </sheets>
  <definedNames/>
  <calcPr/>
</workbook>
</file>

<file path=xl/sharedStrings.xml><?xml version="1.0" encoding="utf-8"?>
<sst xmlns="http://schemas.openxmlformats.org/spreadsheetml/2006/main" count="195" uniqueCount="157">
  <si>
    <t>Pay Period</t>
  </si>
  <si>
    <t>Brett</t>
  </si>
  <si>
    <t>Drew</t>
  </si>
  <si>
    <t>James</t>
  </si>
  <si>
    <t>Mike</t>
  </si>
  <si>
    <t>Jan 9th</t>
  </si>
  <si>
    <t>20255177 - Daron Brown - $473.85
20255204 - Dee Scherer - $126.00
20255113 - Tyler Kirby - Level MB - $1675.16</t>
  </si>
  <si>
    <t>20255176 - Ransae  Hall - $155.42
20255169 - Jennifer Colwell - $60.18
20255159 - Vicki Jones - $91.27
20255158 - Richard Deitering - $7.57
20255142 - Brett Schilling - $5.00
20255199 - Sherrill Silvers - $49.83
20255204 - Dee Scherer - $25.20
20255206 - William Barrett - $57.67
20255220 - Dan Moorhead - $11.02</t>
  </si>
  <si>
    <t>20255159 - Vicki Jones - $912.73
20255169 - Jennifer Colwell - $601.84
20255220 - Dan Moorhead - $110.21</t>
  </si>
  <si>
    <t>Jan 23th</t>
  </si>
  <si>
    <t>20255195 - Nancy Avila - $39.00</t>
  </si>
  <si>
    <t>20255084 - INS - Ben Shideler - $41.35
20255158 - Richard Deitering - $7.57
20255187 - Pete Stueve - $267.65
20255190 - Becky Horne - $217.55
20255199 - Sherrill Silvers - $49.83
20255216 - Angie Zielinski - $109.78
20255227 - Dustin Myers - $11.45
20255214 - Josh Tincher - $62.00
20255195 - Nancy Avila - $7.80
20255170 - Shannon Campbell - $1872.37
20255201 - Glenn Westrick - $5.45</t>
  </si>
  <si>
    <t>20255171 - Ben Davis - $1080.31
20255201 - Glenn Westrick - $54.54
20255206 - William Barrett - $576.67
20255214 - Josh Tincher - $620.00
20255216 - Angie Zielinski - $1097.77
20255227 - Dustin Myers - $114.50
20255228 - JohnRoss - $31.00</t>
  </si>
  <si>
    <t>Feb 6th</t>
  </si>
  <si>
    <t>20255215 - James King - $1233.09</t>
  </si>
  <si>
    <t xml:space="preserve">20255205 - INS - Karen Durning - $71.82
20255208 - Bryant Mullinix - $14.98
20255215 - James King - $246.62
20265003 - Marshall Wagner - $11.83
Previously paid twice for Sherrill Silvers ($49.83) and Richard Deitering ($7.57)
Adjusted new total: $287.85
</t>
  </si>
  <si>
    <t>20265003 - Marshall Wagner - $118.27</t>
  </si>
  <si>
    <t>Feb 20st</t>
  </si>
  <si>
    <t>20255102 - Level MB - 30 N Main - $2191.94
20255087 - INS - Carol Morgan (Beth Lainhart) - $375.51</t>
  </si>
  <si>
    <t>20255094 - INS - James (Andy) Dean - $607.44
20255200 - Alex McFeters - $32.42
20265001 - Riley Spradlin - $176.03
20255214 - Josh Tincher - $45.78
20255170 - Shannon Campbell - $232.16</t>
  </si>
  <si>
    <t>20255214 - Josh Tincher - $480.74
20255210 - INS - Teresa Luciano - $2944.80</t>
  </si>
  <si>
    <t>Mar 6th</t>
  </si>
  <si>
    <t>20245118 - Buck Creek - $365.04 (Transferred from previous commission sheet)
20255212 - Eric Campbell - $164.88
20255233 - Tara Zimmer - $488.08
20265006 - Nancy Avila - $27.50
20265002 - Matthew Patton - $27.00</t>
  </si>
  <si>
    <t xml:space="preserve">20255147 - INS - Michael Phillips - $216.50
20255203 - Tom Menker - $910.30
20255212 - Eric Campbell - $32.98
20255217 - Joseph  Abke - $40.34
20255219 - Cindy Moebius - $57.49
20255225 - Russell Evans - $96.64
20255233 - Tara Zimmer - $97.62
20265006 - Nancy Avila - $5.50
20265002 - Matthew Patton - $5.40
</t>
  </si>
  <si>
    <t xml:space="preserve">20255095 - Carlene McNamara - $90.59
20255047 - Anthony Cruz - $639.35
20255217 - Joseph  Abke - $423.58
20255225 - Russell Evans - $1014.70
</t>
  </si>
  <si>
    <t>Mar 20st</t>
  </si>
  <si>
    <t>20265020 - Gianghua Gao - $29.50
20265022 - James  Lintz - $29.50</t>
  </si>
  <si>
    <t>20255230 - Dan Arnold - $20.40
20255218 - Todd Gaerke - $16.67
20265010 - Tyler Hunt - $322.65
20265012 - Deborah Tippie - $5.06
20265013 - INS - Jeremiah Jenkins - $175.79
20265020 - Gianghua Gao - $5.90
20265022 - James  Lintz - $5.90</t>
  </si>
  <si>
    <t>20255218 - Todd Gaerke - $175.06
20265010 - Tyler Hunt - $3226.54
20265013 - INS - Jeremiah Jenkins - $1757.93
20255056 - INS - Ryan Bloomingdale - $1250.50 (10.5% on last payment from customer)</t>
  </si>
  <si>
    <t>20265012 - Deborah Tippie - $25.31</t>
  </si>
  <si>
    <t>Apr 3th</t>
  </si>
  <si>
    <t>20255231 - Chris Long - $167.05
20255232 - Derek Fink - $202.34
20265017 - Kristen Adams - $242.80
20265083 - Belkis Siebert - $5.00</t>
  </si>
  <si>
    <t>20255231 - Chris Long - $1754.06
20265017 - Kristen Adams - $2428.01
20265083 - Belkis Siebert - $50.00</t>
  </si>
  <si>
    <t>Apr 17th</t>
  </si>
  <si>
    <t>20265015 - Robert Kissell - $708.35
20265025 - Becky Fiessinger - $1278.00</t>
  </si>
  <si>
    <t>20265005 - Shari Dill - $27.47
20265015 - Robert Kissell - $141.67
20265024 - William Barrett - $5.06
20265028 - Andrew Wasouf - $5.94
20265075 - INS - Maurice Docton - $6.00
20265085 - Linda  Bantner - $7.61
20265089 - John Cox - $13.76
20255070 - INS - Roger Hamilton - $2669.74
20265025 - Becky Fiessinger - $255.00</t>
  </si>
  <si>
    <t>20265005 - Shari Dill - $274.69
20265024 - William Barrett - $50.63
20265028 - Andrew Wasouf - $59.37
20255194 - Brian Mueller - $4115.64
20265075 - INS - Maurice Docton - $60.00
20265085 - Linda  Bantner - $76.13</t>
  </si>
  <si>
    <t>May 1nd</t>
  </si>
  <si>
    <t>May 15th</t>
  </si>
  <si>
    <t>May 29th</t>
  </si>
  <si>
    <t>Jun 12th</t>
  </si>
  <si>
    <t>Jun 26th</t>
  </si>
  <si>
    <t>Jul 10th</t>
  </si>
  <si>
    <t>Jul 24th</t>
  </si>
  <si>
    <t>Aug 7th</t>
  </si>
  <si>
    <t>Aug 21nd</t>
  </si>
  <si>
    <t>Sep 4th</t>
  </si>
  <si>
    <t>Sep 18th</t>
  </si>
  <si>
    <t>Oct 2rd</t>
  </si>
  <si>
    <t>Oct 16th</t>
  </si>
  <si>
    <t>Oct 30st</t>
  </si>
  <si>
    <t>Nov 13th</t>
  </si>
  <si>
    <t>Nov 27th</t>
  </si>
  <si>
    <t>Dec 11th</t>
  </si>
  <si>
    <t>Dec 25th</t>
  </si>
  <si>
    <t>Owed has been paid</t>
  </si>
  <si>
    <t>Geoff</t>
  </si>
  <si>
    <t>Will</t>
  </si>
  <si>
    <t>Adam</t>
  </si>
  <si>
    <t>Jan 10th</t>
  </si>
  <si>
    <t>Jan 24th</t>
  </si>
  <si>
    <t>Feb 7th</t>
  </si>
  <si>
    <t>Feb 21st</t>
  </si>
  <si>
    <t>Mar 7th</t>
  </si>
  <si>
    <t>Mar 21st</t>
  </si>
  <si>
    <t>Wes Beard - $469.04 (4%)
Misti Murphy - $307.09 (4%)
Bob Guthrie - $76.67 (4%)</t>
  </si>
  <si>
    <t>20255010 - Deborah Tippie - $572.18</t>
  </si>
  <si>
    <t>No commission</t>
  </si>
  <si>
    <t xml:space="preserve">20255005 - Stephanie Quintor - $180.00
20255006 - Bill Bechtel - $181.81
20255007 - Nathan Thomsen - $3.96
20255008 - Kathy Cornell - $9.54
20255009 - Loren Westfall - $50.00
20255010 - Deborah Tippie - $71.52
20255012 - Troy Blanchard - $8.96
20255013 - Steve Truskowski - $8.75
</t>
  </si>
  <si>
    <t>Apr 4th</t>
  </si>
  <si>
    <t>20255020 - Lorraine Wood - $1085.61
Randy Marriott - $409.48 (4%)</t>
  </si>
  <si>
    <t>20255009 - Loren Westfall - $400.00
20255031 - Darren Smith - $58.27
Doug Gregory - $650.26</t>
  </si>
  <si>
    <t>20255020 - Lorraine Wood - $108.56
20255031 - Darren Smith - $2.91</t>
  </si>
  <si>
    <t>Apr 18th</t>
  </si>
  <si>
    <t>20255019 - Andrew &amp; Lynn Evans - $929.91
20255026 - Steve and Robin Bliss - $60.91
20255043 - Amy Stamps - $20.00</t>
  </si>
  <si>
    <t>20255021 - Tom Watkin - $85.71
20255023 - Cory Leckey - $568.74
Note: $637.31 was paid on this commission on the April 14 check. Remaining amount of $17.14 to be paid on May 2</t>
  </si>
  <si>
    <t>20255014 - HBC Garage Siding - $169.52
20255024 - Kimberleigh Cooper - $93.37
20255047 - Anthony Cruz - $7.00</t>
  </si>
  <si>
    <t>20255024 - Kimberleigh Cooper - $0.00</t>
  </si>
  <si>
    <t>May 2nd</t>
  </si>
  <si>
    <t>20255046 - Mark Webster - $32.00</t>
  </si>
  <si>
    <t>20255015 - INS - Rachel Carr - $678.51
20255022 - Janice Motz - $516.38
20255033 - Jim Steinman - $129.80
20255034 - Dalton Swafford - $46.00
20255039 - Mina Shafiei - $485.02
20255040 - Ben McClurg - $517.13
20255042 - Penny Willis - $210.00
20255018 - INS - Ryan Horan - $1113.23</t>
  </si>
  <si>
    <t>20255026 - Steve and Robin Bliss - $0.00 20255033 - Jim Steinman - $6.49
20255034 - Dalton Swafford - $0.00
20255035 - Dave Nelson - $12.72
20255036 - Dave Nelson - $8.20
20255039 - Mina Shafiei - $60.63
20255040 - Ben McClurg - $0.00
20255042 - Penny Willis - $0.00
20255043 - Amy Stamps - $2.00
20255046 - Mark Webster - $3.20
20255047 - Anthony Cruz - $0.88</t>
  </si>
  <si>
    <t>May 16th</t>
  </si>
  <si>
    <t>20255029 - Andrew Walter - $56.91
20255030 - Michael Hill - $108.47
20255051 - Dustin Johnson - $1296.59
20255059 - Drew Haker - $47.00</t>
  </si>
  <si>
    <t>20255018 - INS - Ryan Horan - $280.00</t>
  </si>
  <si>
    <t>May 30th</t>
  </si>
  <si>
    <t>20255061 - David Torrence - $538.36
20255063 - INS - Glen Shelley - $555.45</t>
  </si>
  <si>
    <t xml:space="preserve">20255058 - Dorothy Reed - $61.31
20255066 - Jamie Coy - $1122.45
</t>
  </si>
  <si>
    <t>20255025 - Chris Falkowski - $546.95
20255032 - INS - Claude Copeland - $346.97
20255045 - Jennifer Colwell - $166.05
20255065 - Robert Cobb - $1955.84</t>
  </si>
  <si>
    <t>Jun 13th</t>
  </si>
  <si>
    <t>20255072 - Kathy Hartman - $99.36</t>
  </si>
  <si>
    <t>20255038 - Brandon Mix - $249.91
20255064 - INS - Katherine Clemmer - $309.20
20255067 - Craig Kauffman - $713.49</t>
  </si>
  <si>
    <t>20255032 - INS - Claude Copeland - $440.54
20255037 - Steve Oroszi - $393.82
20255060 - Rayce Robinson - Clocktower - $17.50
20245232 - Eric Holbrook - $502.12</t>
  </si>
  <si>
    <t>Jun 27th</t>
  </si>
  <si>
    <t>20255081 - Cindy Eubanks - $1180.44
20255085 - Caroline Mantkowski - $201.47</t>
  </si>
  <si>
    <t>20255089 - Codi Santos - $77.60</t>
  </si>
  <si>
    <t>20255068 - INS - John Martin - $1131.93
20255077 - Stacey Kinnison - $1452.55
20255086 - Joanne Stocksdale - $1606.47</t>
  </si>
  <si>
    <t>Jul 11th</t>
  </si>
  <si>
    <t xml:space="preserve">
20255080 - Kyle Piepmeyer - $470.00
20255124 - Viktoria Cooper - $719.60
</t>
  </si>
  <si>
    <t>20255053 - Mark Wolfe - $590.04
20255062 - Shawn Vehr - $503.03
20255096 - Keith Smart - $63.78</t>
  </si>
  <si>
    <t>20255003 - Doug Gregory - $1883.14</t>
  </si>
  <si>
    <t>Jul 25th</t>
  </si>
  <si>
    <t>20255071 - Manes Addition - $460.85</t>
  </si>
  <si>
    <t>20255069 - New Jasper Fire Station - $6500.00</t>
  </si>
  <si>
    <t>20255032 - INS - Claude Copeland - $37.83</t>
  </si>
  <si>
    <t>Aug 8th</t>
  </si>
  <si>
    <t>20255108 - Barb Knobloch - $20.00
20255109 - Sam Saylers - $755.76
20255117 - Level MB - Wes Driskell - $76.01</t>
  </si>
  <si>
    <t>20255070 - Roger Hamilton - $1040.55
20255098 - Maria Beimly - $511.07
20255114 - Tom Christy - $43.95</t>
  </si>
  <si>
    <t>20255103 - Matt Veryser - $675.82
20255105 - Philip Osterholt - $1751.67
20255112 - Tom Bucher - $1339.52
20245234 - Evan Huelsman - $480</t>
  </si>
  <si>
    <t>Aug 22nd</t>
  </si>
  <si>
    <t>20255080 - Kyle Piepmeyer - $324.61</t>
  </si>
  <si>
    <t>20255104 - Annie Lawson - $311.18</t>
  </si>
  <si>
    <t>20255052 - INS - Misty Dalykas - $1067.95
20255090 - Scott Earhart - $1154.50
20255131 - Steve Mascarella - $1337.46</t>
  </si>
  <si>
    <t>Sep 5th</t>
  </si>
  <si>
    <t>20255155 - Ray Kiser - $232.01
20255146 - Graham King - E Canal - $610.30
Buck Creek (Other sheet - 4%) - $6678.69
Stubbs Amphitheater (Other sheet - 4%) - $332.98</t>
  </si>
  <si>
    <t>20255097 - Brian Moore - $930.02
20255141 - Shawn Ella Isaac - $75.59</t>
  </si>
  <si>
    <t>20255055 - Kevin And Cheryl Sims - $5109.25
20255123 - Austan  Good - $313.33
20255133 - Jenna Kreitzer - $1143.50
20255073 - Chris Falkowski - Master Bath - $1227.31</t>
  </si>
  <si>
    <t>Sep 19th</t>
  </si>
  <si>
    <t>20255028 - Wes Beard - $1844.60
20255049 - Pam Sizemore - $403.99
20255093 - Level MB - The Maxwell - $1086.73
20255057 - INS - Emily Hammel - $935.61</t>
  </si>
  <si>
    <t>20255056 - INS - Ryan Bloomingdale - $4624.43
20255082 - Chris Kelly - $4043.97
20255140 - INS - Melissa Clark - $149.50
Dorian Eldridge - $782.88</t>
  </si>
  <si>
    <t>Oct 3rd</t>
  </si>
  <si>
    <t>20255111 - Dana Ronnebaum - $134.33
20255119 - Barry Smith - $119.18
20255165 - Jennifer Pett - $1221.90
20255167 - Daniel Reed - $307.29
20255099 - Ray Marker - $91.30</t>
  </si>
  <si>
    <t>20255097 - Brian Moore - $109.78
20255127 - Paulette Schields - $380.90
20255162 - Ryan Chatterton And Danielle Kelley - $6.06
20255172 - Douglas Swartz - $441.34</t>
  </si>
  <si>
    <t>20255105 - Philip Osterholt - $2349.70
20255115 - Cortney Frazee - $2747.85
20255152 - Gail Sowers - $1861.57
-------------------------------------------------------------
20255156 - Donald Mcghee - $1763.03
20255172 - Douglas Swartz - $4413.39
-------------------------------------------------------------
20255009 - Loren Westfall - $1340.43
20255027 - INS - Tyler Goudy - $1118.64
20255128 - Oceana Massonneau - $2862.61</t>
  </si>
  <si>
    <t>Oct 17th</t>
  </si>
  <si>
    <t>20255124 - Viktoria Cooper - $400.55
20255168 - Dave Koukol - $102.10</t>
  </si>
  <si>
    <t>20255132 - Trevor Lowe - $2395.74
20255147 - INS - Michael Phillips - $592.21
20255150 - Brittany Fuls - $909.69
20255154 - Jill Bachelder - $851.55
20255161 - Sarah Bills - $545.75
20255172 - Douglas Swartz - $682.27</t>
  </si>
  <si>
    <t>20255172 - Douglas Swartz - $6822.74</t>
  </si>
  <si>
    <t>Oct 31st</t>
  </si>
  <si>
    <t>20255148 - Graham King - 10 N Long St - $291.96
Buck Creek - $1685.76</t>
  </si>
  <si>
    <t>20255094 - James (Andy) Dean - $4116.73
20255188 - Faith Bergen - $99.10</t>
  </si>
  <si>
    <t>20255182 - Don Barry - $1364.02
20255138 - INS - Becky Maggert - $1303.14
20255173 - Sam  Hinker - $409.54</t>
  </si>
  <si>
    <t>Nov 14th</t>
  </si>
  <si>
    <t xml:space="preserve">20255113 - Tyler Kirby - Level MB - $1681.14
20255185 - Dayton Dreamcenter - $142.05
</t>
  </si>
  <si>
    <t xml:space="preserve">20255069 - INS - New Jasper Fire Station - $1140.02
20255130 - Josh Swihart - $12.60
20255172 - Douglas Swartz - $176.84
20255185 - Dayton Dreamcenter - $28.41
20255193 - Jerome Hudson - $24.60
</t>
  </si>
  <si>
    <t xml:space="preserve">20255157 - Barn Gutters - Jared Huelsman - $320.10
20255172 - Douglas Swartz - $1,768.39
20255193 - Jerome Hudson - $246.00
</t>
  </si>
  <si>
    <t xml:space="preserve">20255118 - Dustin Dietz - $977.79
20255130 - Josh Swihart - $62.99
20255142 - Brett Schilling - $25.00
20255160 - Pat Daniels - $720.63
20255176 - Ransae Hall - $774.35
20255183 - Barb Spurgeon - $64.84
20255190 - Becky Horne - $1928.80
20255196 - Frank Baxter - $2399.18
20255200 - Alex McPeters - $12.50
</t>
  </si>
  <si>
    <t>Nov 28th</t>
  </si>
  <si>
    <t>20255186 - Ben Shawley - $756.47
20255198 - Dave Linnenkohl - Daughter's House - $428.03</t>
  </si>
  <si>
    <t>20255172 - Douglas Swartz - $110.09
20255178 - Shannon Clark - $114.50
20255180 - Kevin Rode - $7.36
20255186 - Ben Shawley - $151.29
20255198 - Dave Linnenkohl - Daughter's House - $85.61</t>
  </si>
  <si>
    <t>20255172 - Douglas Swartz - $1100.90
20255178 - Shannon Clark - $1145.00</t>
  </si>
  <si>
    <t>Dec 12th</t>
  </si>
  <si>
    <t>20255063 - INS - Glen Shelley - $230.14
20255129 - Frank Szmulowicz - $957.02
20255166 - Gary Shoup - $796.49
20255179 - Ryan Walker - $1120.08
20255202 - Dayton Dreamcenter - $277.00
20255163 - Jason Poling - $111.50</t>
  </si>
  <si>
    <t xml:space="preserve">20255129 - Frank Szmulowicz - $191.40
20255163 - Jason Poling - $22.30
20255170 - Shannon Campbell - $1367.78
20255177 - Daron Brown - $94.77
20255179 - Ryan Walker - $224.02
20255190 - Becky Horne - $178.75
20255202 - Dayton Dreamcenter - $55.40
</t>
  </si>
  <si>
    <t>20255138 - INS - Becky Maggert - $875.41</t>
  </si>
  <si>
    <t>Dec 26th</t>
  </si>
  <si>
    <t>20255069 - INS - New Jasper Fire Station - $422.29
20255118 - Dustin Dietz - $205.53
20255183 - Barb Spurgeon - $14.47
20255163 - Jason Poling - $22.30
20255191 - Jeff Hobbs - $290.75</t>
  </si>
  <si>
    <t xml:space="preserve">20255174 - Judy Shobe - $3071.46
20255191 - Jeff Hobbs - $2907.50
</t>
  </si>
  <si>
    <t>Notes</t>
  </si>
  <si>
    <t>This paid based on 4%</t>
  </si>
  <si>
    <t>Opted for no commission on this one</t>
  </si>
  <si>
    <t>This job paid out at 4%</t>
  </si>
  <si>
    <t>$9341.37 gets paid at 10%, $19,149.17 gets paid at 10.5%</t>
  </si>
  <si>
    <t>$4578.49 paid out at 10.5%</t>
  </si>
  <si>
    <t>Commission Paid 2</t>
  </si>
  <si>
    <t>Will highlight green once customer pays</t>
  </si>
  <si>
    <t>This is a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</si>
</sst>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10" xfId="0" applyFont="1" applyNumberFormat="1"/>
    <xf borderId="0" fillId="2" fontId="1" numFmtId="164" xfId="0" applyFont="1" applyNumberFormat="1"/>
    <xf borderId="0" fillId="2" fontId="1" numFmtId="0" xfId="0" applyAlignment="1" applyFont="1">
      <alignment readingOrder="0"/>
    </xf>
    <xf borderId="0" fillId="0" fontId="1" numFmtId="10" xfId="0" applyFont="1" applyNumberFormat="1"/>
    <xf borderId="0" fillId="2" fontId="1" numFmtId="164" xfId="0" applyAlignment="1" applyFont="1" applyNumberFormat="1">
      <alignment readingOrder="0"/>
    </xf>
    <xf borderId="0" fillId="3" fontId="1" numFmtId="10" xfId="0" applyFill="1" applyFont="1" applyNumberFormat="1"/>
    <xf borderId="0" fillId="4" fontId="1" numFmtId="0" xfId="0" applyFill="1" applyFont="1"/>
    <xf borderId="0" fillId="4" fontId="1" numFmtId="10" xfId="0" applyFont="1" applyNumberFormat="1"/>
    <xf borderId="0" fillId="4" fontId="1" numFmtId="164" xfId="0" applyFont="1" applyNumberFormat="1"/>
    <xf borderId="0" fillId="4" fontId="1" numFmtId="0" xfId="0" applyAlignment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1" fillId="5" fontId="2" numFmtId="164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2" fontId="1" numFmtId="0" xfId="0" applyBorder="1" applyFont="1"/>
    <xf borderId="1" fillId="2" fontId="1" numFmtId="10" xfId="0" applyBorder="1" applyFont="1" applyNumberFormat="1"/>
    <xf borderId="1" fillId="2" fontId="1" numFmtId="164" xfId="0" applyBorder="1" applyFont="1" applyNumberFormat="1"/>
    <xf borderId="1" fillId="2" fontId="2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10" xfId="0" applyBorder="1" applyFont="1" applyNumberFormat="1"/>
    <xf borderId="1" fillId="2" fontId="2" numFmtId="164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0" xfId="0" applyBorder="1" applyFont="1" applyNumberFormat="1"/>
    <xf borderId="1" fillId="0" fontId="1" numFmtId="164" xfId="0" applyBorder="1" applyFont="1" applyNumberFormat="1"/>
    <xf borderId="1" fillId="0" fontId="2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4" fontId="1" numFmtId="0" xfId="0" applyBorder="1" applyFont="1"/>
    <xf borderId="1" fillId="4" fontId="1" numFmtId="10" xfId="0" applyBorder="1" applyFont="1" applyNumberFormat="1"/>
    <xf borderId="1" fillId="4" fontId="1" numFmtId="164" xfId="0" applyBorder="1" applyFont="1" applyNumberFormat="1"/>
    <xf borderId="1" fillId="4" fontId="2" numFmtId="164" xfId="0" applyAlignment="1" applyBorder="1" applyFont="1" applyNumberFormat="1">
      <alignment horizontal="center"/>
    </xf>
    <xf borderId="1" fillId="0" fontId="1" numFmtId="10" xfId="0" applyBorder="1" applyFont="1" applyNumberFormat="1"/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1" fillId="3" fontId="1" numFmtId="0" xfId="0" applyBorder="1" applyFont="1"/>
    <xf borderId="1" fillId="3" fontId="1" numFmtId="164" xfId="0" applyBorder="1" applyFont="1" applyNumberFormat="1"/>
    <xf borderId="1" fillId="3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Total Commissions 2026-style">
      <tableStyleElement dxfId="1" type="headerRow"/>
      <tableStyleElement dxfId="2" type="firstRowStripe"/>
      <tableStyleElement dxfId="3" type="secondRowStripe"/>
    </tableStyle>
    <tableStyle count="3" pivot="0" name="Total Commissions 2025-style">
      <tableStyleElement dxfId="1" type="headerRow"/>
      <tableStyleElement dxfId="2" type="firstRowStripe"/>
      <tableStyleElement dxfId="3" type="secondRowStripe"/>
    </tableStyle>
    <tableStyle count="3" pivot="0" name="Drew 2025-style">
      <tableStyleElement dxfId="1" type="headerRow"/>
      <tableStyleElement dxfId="2" type="firstRowStripe"/>
      <tableStyleElement dxfId="3" type="secondRowStripe"/>
    </tableStyle>
    <tableStyle count="3" pivot="0" name="James 2025-style">
      <tableStyleElement dxfId="1" type="headerRow"/>
      <tableStyleElement dxfId="2" type="firstRowStripe"/>
      <tableStyleElement dxfId="3" type="secondRowStripe"/>
    </tableStyle>
    <tableStyle count="3" pivot="0" name="Will-style">
      <tableStyleElement dxfId="1" type="headerRow"/>
      <tableStyleElement dxfId="2" type="firstRowStripe"/>
      <tableStyleElement dxfId="3" type="secondRowStripe"/>
    </tableStyle>
    <tableStyle count="3" pivot="0" name="Brett 2025-style">
      <tableStyleElement dxfId="1" type="headerRow"/>
      <tableStyleElement dxfId="2" type="firstRowStripe"/>
      <tableStyleElement dxfId="3" type="secondRowStripe"/>
    </tableStyle>
    <tableStyle count="3" pivot="0" name="Geoff 2025-style">
      <tableStyleElement dxfId="1" type="headerRow"/>
      <tableStyleElement dxfId="2" type="firstRowStripe"/>
      <tableStyleElement dxfId="3" type="secondRowStripe"/>
    </tableStyle>
    <tableStyle count="3" pivot="0" name="Adam 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2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otal Commissions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27" displayName="Table_2" name="Table_2" id="2">
  <tableColumns count="6">
    <tableColumn name="Pay Period" id="1"/>
    <tableColumn name="Brett" id="2"/>
    <tableColumn name="Drew" id="3"/>
    <tableColumn name="James" id="4"/>
    <tableColumn name="Geoff" id="5"/>
    <tableColumn name="Will" id="6"/>
  </tableColumns>
  <tableStyleInfo name="Total Commissions 2025-style" showColumnStripes="0" showFirstColumn="1" showLastColumn="1" showRowStripes="1"/>
</table>
</file>

<file path=xl/tables/table3.xml><?xml version="1.0" encoding="utf-8"?>
<table xmlns="http://schemas.openxmlformats.org/spreadsheetml/2006/main" ref="A1:M1000" displayName="Table_3" name="Table_3" id="3">
  <tableColumns count="13">
    <tableColumn name="Job #" id="1"/>
    <tableColumn name="Name" id="2"/>
    <tableColumn name="Paid in Full" id="3"/>
    <tableColumn name="GP" id="4"/>
    <tableColumn name="Contract" id="5"/>
    <tableColumn name="Change Orders" id="6"/>
    <tableColumn name="Invoiced" id="7"/>
    <tableColumn name="SUM of Amount Paid" id="8"/>
    <tableColumn name="Expected Commission" id="9"/>
    <tableColumn name="Commission Paid" id="10"/>
    <tableColumn name="Commission Owed" id="11"/>
    <tableColumn name="Owed has been paid" id="12"/>
    <tableColumn name="Notes" id="13"/>
  </tableColumns>
  <tableStyleInfo name="Drew 2025-style" showColumnStripes="0" showFirstColumn="1" showLastColumn="1" showRowStripes="1"/>
</table>
</file>

<file path=xl/tables/table4.xml><?xml version="1.0" encoding="utf-8"?>
<table xmlns="http://schemas.openxmlformats.org/spreadsheetml/2006/main" ref="A1:M1000" displayName="Table_4" name="Table_4" id="4">
  <tableColumns count="13">
    <tableColumn name="Job #" id="1"/>
    <tableColumn name="Name" id="2"/>
    <tableColumn name="Paid in Full" id="3"/>
    <tableColumn name="GP%" id="4"/>
    <tableColumn name="Contract" id="5"/>
    <tableColumn name="Change Orders" id="6"/>
    <tableColumn name="Invoiced" id="7"/>
    <tableColumn name="Amount Paid" id="8"/>
    <tableColumn name="Expected Commission" id="9"/>
    <tableColumn name="Commission Paid" id="10"/>
    <tableColumn name="Commission Owed" id="11"/>
    <tableColumn name="Owed has been paid" id="12"/>
    <tableColumn name="Notes" id="13"/>
  </tableColumns>
  <tableStyleInfo name="James 2025-style" showColumnStripes="0" showFirstColumn="1" showLastColumn="1" showRowStripes="1"/>
</table>
</file>

<file path=xl/tables/table5.xml><?xml version="1.0" encoding="utf-8"?>
<table xmlns="http://schemas.openxmlformats.org/spreadsheetml/2006/main" ref="A1:L1000" displayName="Table_5" name="Table_5" id="5">
  <tableColumns count="12">
    <tableColumn name="Job #" id="1"/>
    <tableColumn name="Name" id="2"/>
    <tableColumn name="Paid in Full" id="3"/>
    <tableColumn name="GP %" id="4"/>
    <tableColumn name="Contract" id="5"/>
    <tableColumn name="Change Orders" id="6"/>
    <tableColumn name="Invoiced" id="7"/>
    <tableColumn name="Total Commission 0.5%" id="8"/>
    <tableColumn name="Commission Paid" id="9"/>
    <tableColumn name="Commission Owed" id="10"/>
    <tableColumn name="Owed has been paid" id="11"/>
    <tableColumn name="Notes" id="12"/>
  </tableColumns>
  <tableStyleInfo name="Will-style" showColumnStripes="0" showFirstColumn="1" showLastColumn="1" showRowStripes="1"/>
</table>
</file>

<file path=xl/tables/table6.xml><?xml version="1.0" encoding="utf-8"?>
<table xmlns="http://schemas.openxmlformats.org/spreadsheetml/2006/main" ref="A1:M1000" displayName="Table_6" name="Table_6" id="6">
  <tableColumns count="13">
    <tableColumn name="Job #" id="1"/>
    <tableColumn name="Name" id="2"/>
    <tableColumn name="Paid in Full" id="3"/>
    <tableColumn name="GP %" id="4"/>
    <tableColumn name="Contract" id="5"/>
    <tableColumn name="Change Orders" id="6"/>
    <tableColumn name="Invoiced" id="7"/>
    <tableColumn name="Amount Paid" id="8"/>
    <tableColumn name="Expected Commission" id="9"/>
    <tableColumn name="Commission Paid" id="10"/>
    <tableColumn name="Commission Owed" id="11"/>
    <tableColumn name="Commission Paid 2" id="12"/>
    <tableColumn name="Notes" id="13"/>
  </tableColumns>
  <tableStyleInfo name="Brett 2025-style" showColumnStripes="0" showFirstColumn="1" showLastColumn="1" showRowStripes="1"/>
</table>
</file>

<file path=xl/tables/table7.xml><?xml version="1.0" encoding="utf-8"?>
<table xmlns="http://schemas.openxmlformats.org/spreadsheetml/2006/main" ref="A1:M100" displayName="Table_7" name="Table_7" id="7">
  <tableColumns count="13">
    <tableColumn name="Job #" id="1"/>
    <tableColumn name="Name" id="2"/>
    <tableColumn name="Paid in Full" id="3"/>
    <tableColumn name="GP" id="4"/>
    <tableColumn name="Contract" id="5"/>
    <tableColumn name="Change Orders" id="6"/>
    <tableColumn name="Invoiced" id="7"/>
    <tableColumn name="Amount Paid" id="8"/>
    <tableColumn name="Expected Commission" id="9"/>
    <tableColumn name="Commission Paid" id="10"/>
    <tableColumn name="Commission Owed" id="11"/>
    <tableColumn name="Commission Paid 2" id="12"/>
    <tableColumn name="Notes" id="13"/>
  </tableColumns>
  <tableStyleInfo name="Geoff 2025-style" showColumnStripes="0" showFirstColumn="1" showLastColumn="1" showRowStripes="1"/>
</table>
</file>

<file path=xl/tables/table8.xml><?xml version="1.0" encoding="utf-8"?>
<table xmlns="http://schemas.openxmlformats.org/spreadsheetml/2006/main" ref="A1:L1000" displayName="Table_8" name="Table_8" id="8">
  <tableColumns count="12">
    <tableColumn name="Job #" id="1"/>
    <tableColumn name="Name" id="2"/>
    <tableColumn name="Paid in Full" id="3"/>
    <tableColumn name="GP %" id="4"/>
    <tableColumn name="Contract" id="5"/>
    <tableColumn name="Change Orders" id="6"/>
    <tableColumn name="Invoiced" id="7"/>
    <tableColumn name="Amount Paid" id="8"/>
    <tableColumn name="Expected Commission" id="9"/>
    <tableColumn name="Commission Paid" id="10"/>
    <tableColumn name="Owed has been paid" id="11"/>
    <tableColumn name="Notes" id="12"/>
  </tableColumns>
  <tableStyleInfo name="Adam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38"/>
    <col customWidth="1" min="3" max="3" width="33.38"/>
    <col customWidth="1" min="4" max="4" width="34.88"/>
    <col customWidth="1" min="5" max="5" width="31.38"/>
    <col customWidth="1" min="6" max="6" width="32.25"/>
    <col customWidth="1" min="7" max="7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5</v>
      </c>
      <c r="B2" s="5" t="s">
        <v>6</v>
      </c>
      <c r="C2" s="5" t="s">
        <v>7</v>
      </c>
      <c r="D2" s="5" t="s">
        <v>8</v>
      </c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3" t="s">
        <v>9</v>
      </c>
      <c r="B3" s="5" t="s">
        <v>10</v>
      </c>
      <c r="C3" s="5" t="s">
        <v>11</v>
      </c>
      <c r="D3" s="5" t="s">
        <v>12</v>
      </c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 t="s">
        <v>13</v>
      </c>
      <c r="B4" s="5" t="s">
        <v>14</v>
      </c>
      <c r="C4" s="5" t="s">
        <v>15</v>
      </c>
      <c r="D4" s="5" t="s">
        <v>16</v>
      </c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 t="s">
        <v>17</v>
      </c>
      <c r="B5" s="5" t="s">
        <v>18</v>
      </c>
      <c r="C5" s="5" t="s">
        <v>19</v>
      </c>
      <c r="D5" s="5" t="s">
        <v>20</v>
      </c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" t="s">
        <v>21</v>
      </c>
      <c r="B6" s="5" t="s">
        <v>22</v>
      </c>
      <c r="C6" s="5" t="s">
        <v>23</v>
      </c>
      <c r="D6" s="5" t="s">
        <v>24</v>
      </c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 t="s">
        <v>30</v>
      </c>
      <c r="B8" s="9"/>
      <c r="C8" s="5" t="s">
        <v>31</v>
      </c>
      <c r="D8" s="5" t="s">
        <v>32</v>
      </c>
      <c r="E8" s="5"/>
      <c r="F8" s="5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 t="s">
        <v>33</v>
      </c>
      <c r="B9" s="5" t="s">
        <v>34</v>
      </c>
      <c r="C9" s="5" t="s">
        <v>35</v>
      </c>
      <c r="D9" s="5" t="s">
        <v>36</v>
      </c>
      <c r="E9" s="5"/>
      <c r="F9" s="5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 t="s">
        <v>37</v>
      </c>
      <c r="B10" s="9"/>
      <c r="C10" s="10"/>
      <c r="D10" s="9"/>
      <c r="E10" s="9"/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 t="s">
        <v>38</v>
      </c>
      <c r="B11" s="6"/>
      <c r="C11" s="5"/>
      <c r="D11" s="5"/>
      <c r="E11" s="5"/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 t="s">
        <v>39</v>
      </c>
      <c r="B12" s="5"/>
      <c r="E12" s="5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 t="s">
        <v>40</v>
      </c>
      <c r="B13" s="5"/>
      <c r="C13" s="5"/>
      <c r="D13" s="5"/>
      <c r="E13" s="5"/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41</v>
      </c>
      <c r="B14" s="5"/>
      <c r="C14" s="9"/>
      <c r="D14" s="5"/>
      <c r="E14" s="5"/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" t="s">
        <v>42</v>
      </c>
      <c r="B15" s="5"/>
      <c r="C15" s="5"/>
      <c r="D15" s="5"/>
      <c r="E15" s="5"/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" t="s">
        <v>43</v>
      </c>
      <c r="B16" s="5"/>
      <c r="C16" s="5"/>
      <c r="D16" s="5"/>
      <c r="E16" s="5"/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3" t="s">
        <v>44</v>
      </c>
      <c r="B17" s="5"/>
      <c r="C17" s="5"/>
      <c r="D17" s="5"/>
      <c r="E17" s="5"/>
      <c r="F17" s="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3" t="s">
        <v>45</v>
      </c>
      <c r="B18" s="5"/>
      <c r="C18" s="5"/>
      <c r="D18" s="5"/>
      <c r="E18" s="5"/>
      <c r="F18" s="5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" t="s">
        <v>46</v>
      </c>
      <c r="B19" s="5"/>
      <c r="C19" s="5"/>
      <c r="D19" s="5"/>
      <c r="E19" s="5"/>
      <c r="F19" s="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47</v>
      </c>
      <c r="B20" s="5"/>
      <c r="C20" s="6"/>
      <c r="D20" s="5"/>
      <c r="E20" s="5"/>
      <c r="F20" s="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3" t="s">
        <v>48</v>
      </c>
      <c r="B21" s="5"/>
      <c r="C21" s="5"/>
      <c r="D21" s="5"/>
      <c r="E21" s="6"/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3" t="s">
        <v>49</v>
      </c>
      <c r="B22" s="5"/>
      <c r="C22" s="5"/>
      <c r="D22" s="5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" t="s">
        <v>50</v>
      </c>
      <c r="B23" s="5"/>
      <c r="C23" s="5"/>
      <c r="D23" s="5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3" t="s">
        <v>51</v>
      </c>
      <c r="B24" s="5"/>
      <c r="C24" s="5"/>
      <c r="D24" s="5"/>
      <c r="E24" s="5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3" t="s">
        <v>52</v>
      </c>
      <c r="B25" s="5"/>
      <c r="C25" s="5"/>
      <c r="D25" s="5"/>
      <c r="E25" s="5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53</v>
      </c>
      <c r="B26" s="5"/>
      <c r="C26" s="5"/>
      <c r="D26" s="5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3" t="s">
        <v>54</v>
      </c>
      <c r="B27" s="6"/>
      <c r="C27" s="5"/>
      <c r="D27" s="5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/>
      <c r="B28" s="12"/>
      <c r="C28" s="12"/>
      <c r="D28" s="12"/>
      <c r="E28" s="12"/>
      <c r="F28" s="13"/>
      <c r="G28" s="12"/>
    </row>
    <row r="29">
      <c r="A29" s="4"/>
      <c r="B29" s="12"/>
      <c r="C29" s="12"/>
      <c r="D29" s="12"/>
      <c r="E29" s="12"/>
      <c r="F29" s="13"/>
      <c r="G29" s="12"/>
    </row>
    <row r="30">
      <c r="A30" s="4"/>
      <c r="B30" s="12"/>
      <c r="C30" s="12"/>
      <c r="D30" s="12"/>
      <c r="E30" s="12"/>
      <c r="F30" s="13"/>
      <c r="G30" s="12"/>
    </row>
    <row r="31">
      <c r="A31" s="4"/>
      <c r="B31" s="12"/>
      <c r="C31" s="12"/>
      <c r="D31" s="12"/>
      <c r="E31" s="12"/>
      <c r="F31" s="13"/>
      <c r="G31" s="12"/>
    </row>
    <row r="32">
      <c r="A32" s="4"/>
      <c r="B32" s="12"/>
      <c r="C32" s="12"/>
      <c r="D32" s="12"/>
      <c r="E32" s="12"/>
      <c r="F32" s="13"/>
      <c r="G32" s="12"/>
    </row>
    <row r="33">
      <c r="A33" s="4"/>
      <c r="B33" s="12"/>
      <c r="C33" s="12"/>
      <c r="D33" s="12"/>
      <c r="E33" s="12"/>
      <c r="F33" s="13"/>
      <c r="G33" s="12"/>
    </row>
    <row r="34">
      <c r="A34" s="4"/>
      <c r="B34" s="12"/>
      <c r="C34" s="12"/>
      <c r="D34" s="12"/>
      <c r="E34" s="12"/>
      <c r="F34" s="13"/>
      <c r="G34" s="12"/>
    </row>
    <row r="35">
      <c r="A35" s="4"/>
      <c r="B35" s="12"/>
      <c r="C35" s="12"/>
      <c r="D35" s="12"/>
      <c r="E35" s="12"/>
      <c r="F35" s="13"/>
      <c r="G35" s="12"/>
    </row>
    <row r="36">
      <c r="A36" s="4"/>
      <c r="B36" s="12"/>
      <c r="C36" s="12"/>
      <c r="D36" s="12"/>
      <c r="E36" s="12"/>
      <c r="F36" s="13"/>
      <c r="G36" s="12"/>
    </row>
    <row r="37">
      <c r="A37" s="4"/>
      <c r="B37" s="12"/>
      <c r="C37" s="12"/>
      <c r="D37" s="12"/>
      <c r="E37" s="12"/>
      <c r="F37" s="13"/>
      <c r="G37" s="12"/>
    </row>
    <row r="38">
      <c r="A38" s="4"/>
      <c r="B38" s="12"/>
      <c r="C38" s="12"/>
      <c r="D38" s="12"/>
      <c r="E38" s="12"/>
      <c r="F38" s="13"/>
      <c r="G38" s="12"/>
    </row>
    <row r="39">
      <c r="A39" s="4"/>
      <c r="B39" s="12"/>
      <c r="C39" s="12"/>
      <c r="D39" s="12"/>
      <c r="E39" s="12"/>
      <c r="F39" s="13"/>
      <c r="G39" s="12"/>
    </row>
    <row r="40">
      <c r="A40" s="4"/>
      <c r="B40" s="12"/>
      <c r="C40" s="12"/>
      <c r="D40" s="12"/>
      <c r="E40" s="12"/>
      <c r="F40" s="13"/>
      <c r="G40" s="12"/>
    </row>
    <row r="41">
      <c r="A41" s="4"/>
      <c r="B41" s="12"/>
      <c r="C41" s="12"/>
      <c r="D41" s="12"/>
      <c r="E41" s="12"/>
      <c r="F41" s="13"/>
      <c r="G41" s="12"/>
    </row>
    <row r="42">
      <c r="A42" s="4"/>
      <c r="B42" s="12"/>
      <c r="C42" s="12"/>
      <c r="D42" s="12"/>
      <c r="E42" s="12"/>
      <c r="F42" s="13"/>
      <c r="G42" s="12"/>
    </row>
    <row r="43">
      <c r="A43" s="4"/>
      <c r="B43" s="12"/>
      <c r="C43" s="12"/>
      <c r="D43" s="12"/>
      <c r="E43" s="12"/>
      <c r="F43" s="13"/>
      <c r="G43" s="12"/>
    </row>
    <row r="44">
      <c r="A44" s="4"/>
      <c r="B44" s="12"/>
      <c r="C44" s="12"/>
      <c r="D44" s="12"/>
      <c r="E44" s="12"/>
      <c r="F44" s="13"/>
      <c r="G44" s="12"/>
    </row>
    <row r="45">
      <c r="A45" s="4"/>
      <c r="B45" s="12"/>
      <c r="C45" s="12"/>
      <c r="D45" s="12"/>
      <c r="E45" s="12"/>
      <c r="F45" s="13"/>
      <c r="G45" s="12"/>
    </row>
    <row r="46">
      <c r="A46" s="4"/>
      <c r="B46" s="12"/>
      <c r="C46" s="12"/>
      <c r="D46" s="12"/>
      <c r="E46" s="12"/>
      <c r="F46" s="13"/>
      <c r="G46" s="12"/>
    </row>
    <row r="47">
      <c r="A47" s="4"/>
      <c r="B47" s="12"/>
      <c r="C47" s="12"/>
      <c r="D47" s="12"/>
      <c r="E47" s="12"/>
      <c r="F47" s="13"/>
      <c r="G47" s="12"/>
    </row>
    <row r="48">
      <c r="A48" s="4"/>
      <c r="B48" s="12"/>
      <c r="C48" s="12"/>
      <c r="D48" s="12"/>
      <c r="E48" s="12"/>
      <c r="F48" s="13"/>
      <c r="G48" s="12"/>
    </row>
    <row r="49">
      <c r="A49" s="4"/>
      <c r="B49" s="12"/>
      <c r="C49" s="12"/>
      <c r="D49" s="12"/>
      <c r="E49" s="12"/>
      <c r="F49" s="13"/>
      <c r="G49" s="12"/>
    </row>
    <row r="50">
      <c r="A50" s="4"/>
      <c r="B50" s="12"/>
      <c r="C50" s="12"/>
      <c r="D50" s="12"/>
      <c r="E50" s="12"/>
      <c r="F50" s="13"/>
      <c r="G50" s="12"/>
    </row>
    <row r="51">
      <c r="A51" s="4"/>
      <c r="B51" s="12"/>
      <c r="C51" s="12"/>
      <c r="D51" s="12"/>
      <c r="E51" s="12"/>
      <c r="F51" s="13"/>
      <c r="G51" s="12"/>
    </row>
    <row r="52">
      <c r="A52" s="4"/>
      <c r="B52" s="12"/>
      <c r="C52" s="12"/>
      <c r="D52" s="12"/>
      <c r="E52" s="12"/>
      <c r="F52" s="13"/>
      <c r="G52" s="12"/>
    </row>
    <row r="53">
      <c r="A53" s="4"/>
      <c r="B53" s="12"/>
      <c r="C53" s="12"/>
      <c r="D53" s="12"/>
      <c r="E53" s="12"/>
      <c r="F53" s="13"/>
      <c r="G53" s="12"/>
    </row>
    <row r="54">
      <c r="A54" s="4"/>
      <c r="B54" s="12"/>
      <c r="C54" s="12"/>
      <c r="D54" s="12"/>
      <c r="E54" s="12"/>
      <c r="F54" s="13"/>
      <c r="G54" s="12"/>
    </row>
    <row r="55">
      <c r="A55" s="4"/>
      <c r="B55" s="12"/>
      <c r="C55" s="12"/>
      <c r="D55" s="12"/>
      <c r="E55" s="12"/>
      <c r="F55" s="13"/>
      <c r="G55" s="12"/>
    </row>
    <row r="56">
      <c r="A56" s="4"/>
      <c r="B56" s="12"/>
      <c r="C56" s="12"/>
      <c r="D56" s="12"/>
      <c r="E56" s="12"/>
      <c r="F56" s="13"/>
      <c r="G56" s="12"/>
    </row>
    <row r="57">
      <c r="A57" s="4"/>
      <c r="B57" s="12"/>
      <c r="C57" s="12"/>
      <c r="D57" s="12"/>
      <c r="E57" s="12"/>
      <c r="F57" s="13"/>
      <c r="G57" s="12"/>
    </row>
    <row r="58">
      <c r="A58" s="4"/>
      <c r="B58" s="12"/>
      <c r="C58" s="12"/>
      <c r="D58" s="12"/>
      <c r="E58" s="12"/>
      <c r="F58" s="13"/>
      <c r="G58" s="12"/>
    </row>
    <row r="59">
      <c r="A59" s="4"/>
      <c r="B59" s="12"/>
      <c r="C59" s="12"/>
      <c r="D59" s="12"/>
      <c r="E59" s="12"/>
      <c r="F59" s="13"/>
      <c r="G59" s="12"/>
    </row>
    <row r="60">
      <c r="A60" s="4"/>
      <c r="B60" s="12"/>
      <c r="C60" s="12"/>
      <c r="D60" s="12"/>
      <c r="E60" s="12"/>
      <c r="F60" s="13"/>
      <c r="G60" s="12"/>
    </row>
    <row r="61">
      <c r="A61" s="4"/>
      <c r="B61" s="12"/>
      <c r="C61" s="12"/>
      <c r="D61" s="12"/>
      <c r="E61" s="12"/>
      <c r="F61" s="13"/>
      <c r="G61" s="12"/>
    </row>
    <row r="62">
      <c r="A62" s="4"/>
      <c r="B62" s="12"/>
      <c r="C62" s="12"/>
      <c r="D62" s="12"/>
      <c r="E62" s="12"/>
      <c r="F62" s="13"/>
      <c r="G62" s="12"/>
    </row>
    <row r="63">
      <c r="A63" s="4"/>
      <c r="B63" s="12"/>
      <c r="C63" s="12"/>
      <c r="D63" s="12"/>
      <c r="E63" s="12"/>
      <c r="F63" s="13"/>
      <c r="G63" s="12"/>
    </row>
    <row r="64">
      <c r="A64" s="4"/>
      <c r="B64" s="12"/>
      <c r="C64" s="12"/>
      <c r="D64" s="12"/>
      <c r="E64" s="12"/>
      <c r="F64" s="13"/>
      <c r="G64" s="12"/>
    </row>
    <row r="65">
      <c r="A65" s="4"/>
      <c r="B65" s="12"/>
      <c r="C65" s="12"/>
      <c r="D65" s="12"/>
      <c r="E65" s="12"/>
      <c r="F65" s="13"/>
      <c r="G65" s="12"/>
    </row>
    <row r="66">
      <c r="A66" s="4"/>
      <c r="B66" s="12"/>
      <c r="C66" s="12"/>
      <c r="D66" s="12"/>
      <c r="E66" s="12"/>
      <c r="F66" s="13"/>
      <c r="G66" s="12"/>
    </row>
    <row r="67">
      <c r="A67" s="4"/>
      <c r="B67" s="12"/>
      <c r="C67" s="12"/>
      <c r="D67" s="12"/>
      <c r="E67" s="12"/>
      <c r="F67" s="13"/>
      <c r="G67" s="12"/>
    </row>
    <row r="68">
      <c r="A68" s="4"/>
      <c r="B68" s="12"/>
      <c r="C68" s="12"/>
      <c r="D68" s="12"/>
      <c r="E68" s="12"/>
      <c r="F68" s="13"/>
      <c r="G68" s="12"/>
    </row>
    <row r="69">
      <c r="A69" s="4"/>
      <c r="B69" s="12"/>
      <c r="C69" s="12"/>
      <c r="D69" s="12"/>
      <c r="E69" s="12"/>
      <c r="F69" s="13"/>
      <c r="G69" s="12"/>
    </row>
    <row r="70">
      <c r="A70" s="4"/>
      <c r="B70" s="12"/>
      <c r="C70" s="12"/>
      <c r="D70" s="12"/>
      <c r="E70" s="12"/>
      <c r="F70" s="13"/>
      <c r="G70" s="12"/>
    </row>
    <row r="71">
      <c r="A71" s="4"/>
      <c r="B71" s="12"/>
      <c r="C71" s="12"/>
      <c r="D71" s="12"/>
      <c r="E71" s="12"/>
      <c r="F71" s="13"/>
      <c r="G71" s="12"/>
    </row>
    <row r="72">
      <c r="A72" s="4"/>
      <c r="B72" s="12"/>
      <c r="C72" s="12"/>
      <c r="D72" s="12"/>
      <c r="E72" s="12"/>
      <c r="F72" s="13"/>
      <c r="G72" s="12"/>
    </row>
    <row r="73">
      <c r="A73" s="4"/>
      <c r="B73" s="12"/>
      <c r="C73" s="12"/>
      <c r="D73" s="12"/>
      <c r="E73" s="12"/>
      <c r="F73" s="13"/>
      <c r="G73" s="12"/>
    </row>
    <row r="74">
      <c r="A74" s="4"/>
      <c r="B74" s="12"/>
      <c r="C74" s="12"/>
      <c r="D74" s="12"/>
      <c r="E74" s="12"/>
      <c r="F74" s="13"/>
      <c r="G74" s="12"/>
    </row>
    <row r="75">
      <c r="A75" s="4"/>
      <c r="B75" s="12"/>
      <c r="C75" s="12"/>
      <c r="D75" s="12"/>
      <c r="E75" s="12"/>
      <c r="F75" s="13"/>
      <c r="G75" s="12"/>
    </row>
    <row r="76">
      <c r="A76" s="4"/>
      <c r="B76" s="12"/>
      <c r="C76" s="12"/>
      <c r="D76" s="12"/>
      <c r="E76" s="12"/>
      <c r="F76" s="13"/>
      <c r="G76" s="12"/>
    </row>
    <row r="77">
      <c r="A77" s="4"/>
      <c r="B77" s="12"/>
      <c r="C77" s="12"/>
      <c r="D77" s="12"/>
      <c r="E77" s="12"/>
      <c r="F77" s="13"/>
      <c r="G77" s="12"/>
    </row>
    <row r="78">
      <c r="A78" s="4"/>
      <c r="B78" s="12"/>
      <c r="C78" s="12"/>
      <c r="D78" s="12"/>
      <c r="E78" s="12"/>
      <c r="F78" s="13"/>
      <c r="G78" s="12"/>
    </row>
    <row r="79">
      <c r="A79" s="4"/>
      <c r="B79" s="12"/>
      <c r="C79" s="12"/>
      <c r="D79" s="12"/>
      <c r="E79" s="12"/>
      <c r="F79" s="13"/>
      <c r="G79" s="12"/>
    </row>
    <row r="80">
      <c r="A80" s="4"/>
      <c r="B80" s="12"/>
      <c r="C80" s="12"/>
      <c r="D80" s="12"/>
      <c r="E80" s="12"/>
      <c r="F80" s="13"/>
      <c r="G80" s="12"/>
    </row>
    <row r="81">
      <c r="A81" s="4"/>
      <c r="B81" s="12"/>
      <c r="C81" s="12"/>
      <c r="D81" s="12"/>
      <c r="E81" s="12"/>
      <c r="F81" s="13"/>
      <c r="G81" s="12"/>
    </row>
    <row r="82">
      <c r="A82" s="4"/>
      <c r="B82" s="12"/>
      <c r="C82" s="12"/>
      <c r="D82" s="12"/>
      <c r="E82" s="12"/>
      <c r="F82" s="13"/>
      <c r="G82" s="12"/>
    </row>
    <row r="83">
      <c r="A83" s="4"/>
      <c r="B83" s="12"/>
      <c r="C83" s="12"/>
      <c r="D83" s="12"/>
      <c r="E83" s="12"/>
      <c r="F83" s="13"/>
      <c r="G83" s="12"/>
    </row>
    <row r="84">
      <c r="A84" s="4"/>
      <c r="B84" s="12"/>
      <c r="C84" s="12"/>
      <c r="D84" s="12"/>
      <c r="E84" s="12"/>
      <c r="F84" s="13"/>
      <c r="G84" s="12"/>
    </row>
    <row r="85">
      <c r="A85" s="4"/>
      <c r="B85" s="12"/>
      <c r="C85" s="12"/>
      <c r="D85" s="12"/>
      <c r="E85" s="12"/>
      <c r="F85" s="13"/>
      <c r="G85" s="12"/>
    </row>
    <row r="86">
      <c r="A86" s="4"/>
      <c r="B86" s="12"/>
      <c r="C86" s="12"/>
      <c r="D86" s="12"/>
      <c r="E86" s="12"/>
      <c r="F86" s="13"/>
      <c r="G86" s="12"/>
    </row>
    <row r="87">
      <c r="A87" s="4"/>
      <c r="B87" s="12"/>
      <c r="C87" s="12"/>
      <c r="D87" s="12"/>
      <c r="E87" s="12"/>
      <c r="F87" s="13"/>
      <c r="G87" s="12"/>
    </row>
    <row r="88">
      <c r="A88" s="4"/>
      <c r="B88" s="12"/>
      <c r="C88" s="12"/>
      <c r="D88" s="12"/>
      <c r="E88" s="12"/>
      <c r="F88" s="13"/>
      <c r="G88" s="12"/>
    </row>
    <row r="89">
      <c r="A89" s="4"/>
      <c r="B89" s="12"/>
      <c r="C89" s="12"/>
      <c r="D89" s="12"/>
      <c r="E89" s="12"/>
      <c r="F89" s="13"/>
      <c r="G89" s="12"/>
    </row>
    <row r="90">
      <c r="A90" s="4"/>
      <c r="B90" s="12"/>
      <c r="C90" s="12"/>
      <c r="D90" s="12"/>
      <c r="E90" s="12"/>
      <c r="F90" s="13"/>
      <c r="G90" s="12"/>
    </row>
    <row r="91">
      <c r="A91" s="4"/>
      <c r="B91" s="12"/>
      <c r="C91" s="12"/>
      <c r="D91" s="12"/>
      <c r="E91" s="12"/>
      <c r="F91" s="13"/>
      <c r="G91" s="12"/>
    </row>
    <row r="92">
      <c r="A92" s="4"/>
      <c r="B92" s="12"/>
      <c r="C92" s="12"/>
      <c r="D92" s="12"/>
      <c r="E92" s="12"/>
      <c r="F92" s="13"/>
      <c r="G92" s="12"/>
    </row>
    <row r="93">
      <c r="A93" s="4"/>
      <c r="B93" s="12"/>
      <c r="C93" s="12"/>
      <c r="D93" s="12"/>
      <c r="E93" s="12"/>
      <c r="F93" s="13"/>
      <c r="G93" s="12"/>
    </row>
    <row r="94">
      <c r="A94" s="4"/>
      <c r="B94" s="12"/>
      <c r="C94" s="12"/>
      <c r="D94" s="12"/>
      <c r="E94" s="12"/>
      <c r="F94" s="13"/>
      <c r="G94" s="12"/>
    </row>
    <row r="95">
      <c r="A95" s="4"/>
      <c r="B95" s="12"/>
      <c r="C95" s="12"/>
      <c r="D95" s="12"/>
      <c r="E95" s="12"/>
      <c r="F95" s="13"/>
      <c r="G95" s="12"/>
    </row>
    <row r="96">
      <c r="A96" s="4"/>
      <c r="B96" s="12"/>
      <c r="C96" s="12"/>
      <c r="D96" s="12"/>
      <c r="E96" s="12"/>
      <c r="F96" s="13"/>
      <c r="G96" s="12"/>
    </row>
    <row r="97">
      <c r="A97" s="4"/>
      <c r="B97" s="12"/>
      <c r="C97" s="12"/>
      <c r="D97" s="12"/>
      <c r="E97" s="12"/>
      <c r="F97" s="13"/>
      <c r="G97" s="12"/>
    </row>
    <row r="98">
      <c r="A98" s="4"/>
      <c r="B98" s="12"/>
      <c r="C98" s="12"/>
      <c r="D98" s="12"/>
      <c r="E98" s="12"/>
      <c r="F98" s="13"/>
      <c r="G98" s="12"/>
    </row>
    <row r="99">
      <c r="A99" s="4"/>
      <c r="B99" s="12"/>
      <c r="C99" s="12"/>
      <c r="D99" s="12"/>
      <c r="E99" s="12"/>
      <c r="F99" s="13"/>
      <c r="G99" s="12"/>
    </row>
    <row r="100">
      <c r="A100" s="4"/>
      <c r="B100" s="12"/>
      <c r="C100" s="12"/>
      <c r="D100" s="12"/>
      <c r="E100" s="12"/>
      <c r="F100" s="13"/>
      <c r="G100" s="12"/>
    </row>
    <row r="101">
      <c r="A101" s="4"/>
      <c r="B101" s="12"/>
      <c r="C101" s="12"/>
      <c r="D101" s="12"/>
      <c r="E101" s="12"/>
      <c r="F101" s="13"/>
      <c r="G101" s="12"/>
    </row>
    <row r="102">
      <c r="A102" s="4"/>
      <c r="B102" s="12"/>
      <c r="C102" s="12"/>
      <c r="D102" s="12"/>
      <c r="E102" s="12"/>
      <c r="F102" s="13"/>
      <c r="G102" s="12"/>
    </row>
    <row r="103">
      <c r="A103" s="4"/>
      <c r="B103" s="12"/>
      <c r="C103" s="12"/>
      <c r="D103" s="12"/>
      <c r="E103" s="12"/>
      <c r="F103" s="13"/>
      <c r="G103" s="12"/>
    </row>
    <row r="104">
      <c r="A104" s="4"/>
      <c r="B104" s="12"/>
      <c r="C104" s="12"/>
      <c r="D104" s="12"/>
      <c r="E104" s="12"/>
      <c r="F104" s="13"/>
      <c r="G104" s="12"/>
    </row>
    <row r="105">
      <c r="A105" s="4"/>
      <c r="B105" s="12"/>
      <c r="C105" s="12"/>
      <c r="D105" s="12"/>
      <c r="E105" s="12"/>
      <c r="F105" s="13"/>
      <c r="G105" s="12"/>
    </row>
    <row r="106">
      <c r="A106" s="4"/>
      <c r="B106" s="12"/>
      <c r="C106" s="12"/>
      <c r="D106" s="12"/>
      <c r="E106" s="12"/>
      <c r="F106" s="13"/>
      <c r="G106" s="12"/>
    </row>
    <row r="107">
      <c r="A107" s="4"/>
      <c r="B107" s="12"/>
      <c r="C107" s="12"/>
      <c r="D107" s="12"/>
      <c r="E107" s="12"/>
      <c r="F107" s="13"/>
      <c r="G107" s="12"/>
    </row>
    <row r="108">
      <c r="A108" s="4"/>
      <c r="B108" s="12"/>
      <c r="C108" s="12"/>
      <c r="D108" s="12"/>
      <c r="E108" s="12"/>
      <c r="F108" s="13"/>
      <c r="G108" s="12"/>
    </row>
    <row r="109">
      <c r="A109" s="4"/>
      <c r="B109" s="12"/>
      <c r="C109" s="12"/>
      <c r="D109" s="12"/>
      <c r="E109" s="12"/>
      <c r="F109" s="13"/>
      <c r="G109" s="12"/>
    </row>
    <row r="110">
      <c r="A110" s="4"/>
      <c r="B110" s="12"/>
      <c r="C110" s="12"/>
      <c r="D110" s="12"/>
      <c r="E110" s="12"/>
      <c r="F110" s="13"/>
      <c r="G110" s="12"/>
    </row>
    <row r="111">
      <c r="A111" s="4"/>
      <c r="B111" s="12"/>
      <c r="C111" s="12"/>
      <c r="D111" s="12"/>
      <c r="E111" s="12"/>
      <c r="F111" s="13"/>
      <c r="G111" s="12"/>
    </row>
    <row r="112">
      <c r="A112" s="4"/>
      <c r="B112" s="12"/>
      <c r="C112" s="12"/>
      <c r="D112" s="12"/>
      <c r="E112" s="12"/>
      <c r="F112" s="13"/>
      <c r="G112" s="12"/>
    </row>
    <row r="113">
      <c r="A113" s="4"/>
      <c r="B113" s="12"/>
      <c r="C113" s="12"/>
      <c r="D113" s="12"/>
      <c r="E113" s="12"/>
      <c r="F113" s="13"/>
      <c r="G113" s="12"/>
    </row>
    <row r="114">
      <c r="A114" s="4"/>
      <c r="B114" s="12"/>
      <c r="C114" s="12"/>
      <c r="D114" s="12"/>
      <c r="E114" s="12"/>
      <c r="F114" s="13"/>
      <c r="G114" s="12"/>
    </row>
    <row r="115">
      <c r="A115" s="4"/>
      <c r="B115" s="12"/>
      <c r="C115" s="12"/>
      <c r="D115" s="12"/>
      <c r="E115" s="12"/>
      <c r="F115" s="13"/>
      <c r="G115" s="12"/>
    </row>
    <row r="116">
      <c r="A116" s="4"/>
      <c r="B116" s="12"/>
      <c r="C116" s="12"/>
      <c r="D116" s="12"/>
      <c r="E116" s="12"/>
      <c r="F116" s="13"/>
      <c r="G116" s="12"/>
    </row>
    <row r="117">
      <c r="A117" s="4"/>
      <c r="B117" s="12"/>
      <c r="C117" s="12"/>
      <c r="D117" s="12"/>
      <c r="E117" s="12"/>
      <c r="F117" s="13"/>
      <c r="G117" s="12"/>
    </row>
    <row r="118">
      <c r="A118" s="4"/>
      <c r="B118" s="12"/>
      <c r="C118" s="12"/>
      <c r="D118" s="12"/>
      <c r="E118" s="12"/>
      <c r="F118" s="13"/>
      <c r="G118" s="12"/>
    </row>
    <row r="119">
      <c r="A119" s="4"/>
      <c r="B119" s="12"/>
      <c r="C119" s="12"/>
      <c r="D119" s="12"/>
      <c r="E119" s="12"/>
      <c r="F119" s="13"/>
      <c r="G119" s="12"/>
    </row>
    <row r="120">
      <c r="A120" s="4"/>
      <c r="B120" s="12"/>
      <c r="C120" s="12"/>
      <c r="D120" s="12"/>
      <c r="E120" s="12"/>
      <c r="F120" s="13"/>
      <c r="G120" s="12"/>
    </row>
    <row r="121">
      <c r="A121" s="4"/>
      <c r="B121" s="12"/>
      <c r="C121" s="12"/>
      <c r="D121" s="12"/>
      <c r="E121" s="12"/>
      <c r="F121" s="13"/>
      <c r="G121" s="12"/>
    </row>
    <row r="122">
      <c r="A122" s="4"/>
      <c r="B122" s="12"/>
      <c r="C122" s="12"/>
      <c r="D122" s="12"/>
      <c r="E122" s="12"/>
      <c r="F122" s="13"/>
      <c r="G122" s="12"/>
    </row>
    <row r="123">
      <c r="A123" s="4"/>
      <c r="B123" s="12"/>
      <c r="C123" s="12"/>
      <c r="D123" s="12"/>
      <c r="E123" s="12"/>
      <c r="F123" s="13"/>
      <c r="G123" s="12"/>
    </row>
    <row r="124">
      <c r="A124" s="4"/>
      <c r="B124" s="12"/>
      <c r="C124" s="12"/>
      <c r="D124" s="12"/>
      <c r="E124" s="12"/>
      <c r="F124" s="13"/>
      <c r="G124" s="12"/>
    </row>
    <row r="125">
      <c r="A125" s="4"/>
      <c r="B125" s="12"/>
      <c r="C125" s="12"/>
      <c r="D125" s="12"/>
      <c r="E125" s="12"/>
      <c r="F125" s="13"/>
      <c r="G125" s="12"/>
    </row>
    <row r="126">
      <c r="A126" s="4"/>
      <c r="B126" s="12"/>
      <c r="C126" s="12"/>
      <c r="D126" s="12"/>
      <c r="E126" s="12"/>
      <c r="F126" s="13"/>
      <c r="G126" s="12"/>
    </row>
    <row r="127">
      <c r="A127" s="4"/>
      <c r="B127" s="12"/>
      <c r="C127" s="12"/>
      <c r="D127" s="12"/>
      <c r="E127" s="12"/>
      <c r="F127" s="13"/>
      <c r="G127" s="12"/>
    </row>
    <row r="128">
      <c r="A128" s="4"/>
      <c r="B128" s="12"/>
      <c r="C128" s="12"/>
      <c r="D128" s="12"/>
      <c r="E128" s="12"/>
      <c r="F128" s="13"/>
      <c r="G128" s="12"/>
    </row>
    <row r="129">
      <c r="A129" s="4"/>
      <c r="B129" s="12"/>
      <c r="C129" s="12"/>
      <c r="D129" s="12"/>
      <c r="E129" s="12"/>
      <c r="F129" s="13"/>
      <c r="G129" s="12"/>
    </row>
    <row r="130">
      <c r="A130" s="4"/>
      <c r="B130" s="12"/>
      <c r="C130" s="12"/>
      <c r="D130" s="12"/>
      <c r="E130" s="12"/>
      <c r="F130" s="13"/>
      <c r="G130" s="12"/>
    </row>
    <row r="131">
      <c r="A131" s="4"/>
      <c r="B131" s="12"/>
      <c r="C131" s="12"/>
      <c r="D131" s="12"/>
      <c r="E131" s="12"/>
      <c r="F131" s="13"/>
      <c r="G131" s="12"/>
    </row>
    <row r="132">
      <c r="A132" s="4"/>
      <c r="B132" s="12"/>
      <c r="C132" s="12"/>
      <c r="D132" s="12"/>
      <c r="E132" s="12"/>
      <c r="F132" s="13"/>
      <c r="G132" s="12"/>
    </row>
    <row r="133">
      <c r="A133" s="4"/>
      <c r="B133" s="12"/>
      <c r="C133" s="12"/>
      <c r="D133" s="12"/>
      <c r="E133" s="12"/>
      <c r="F133" s="13"/>
      <c r="G133" s="12"/>
    </row>
    <row r="134">
      <c r="A134" s="4"/>
      <c r="B134" s="12"/>
      <c r="C134" s="12"/>
      <c r="D134" s="12"/>
      <c r="E134" s="12"/>
      <c r="F134" s="13"/>
      <c r="G134" s="12"/>
    </row>
    <row r="135">
      <c r="A135" s="4"/>
      <c r="B135" s="12"/>
      <c r="C135" s="12"/>
      <c r="D135" s="12"/>
      <c r="E135" s="12"/>
      <c r="F135" s="13"/>
      <c r="G135" s="12"/>
    </row>
    <row r="136">
      <c r="A136" s="4"/>
      <c r="B136" s="12"/>
      <c r="C136" s="12"/>
      <c r="D136" s="12"/>
      <c r="E136" s="12"/>
      <c r="F136" s="13"/>
      <c r="G136" s="12"/>
    </row>
    <row r="137">
      <c r="A137" s="4"/>
      <c r="B137" s="12"/>
      <c r="C137" s="12"/>
      <c r="D137" s="12"/>
      <c r="E137" s="12"/>
      <c r="F137" s="13"/>
      <c r="G137" s="12"/>
    </row>
    <row r="138">
      <c r="A138" s="4"/>
      <c r="B138" s="12"/>
      <c r="C138" s="12"/>
      <c r="D138" s="12"/>
      <c r="E138" s="12"/>
      <c r="F138" s="13"/>
      <c r="G138" s="12"/>
    </row>
    <row r="139">
      <c r="A139" s="4"/>
      <c r="B139" s="12"/>
      <c r="C139" s="12"/>
      <c r="D139" s="12"/>
      <c r="E139" s="12"/>
      <c r="F139" s="13"/>
      <c r="G139" s="12"/>
    </row>
    <row r="140">
      <c r="A140" s="4"/>
      <c r="B140" s="12"/>
      <c r="C140" s="12"/>
      <c r="D140" s="12"/>
      <c r="E140" s="12"/>
      <c r="F140" s="13"/>
      <c r="G140" s="12"/>
    </row>
    <row r="141">
      <c r="A141" s="4"/>
      <c r="B141" s="12"/>
      <c r="C141" s="12"/>
      <c r="D141" s="12"/>
      <c r="E141" s="12"/>
      <c r="F141" s="13"/>
      <c r="G141" s="12"/>
    </row>
    <row r="142">
      <c r="A142" s="4"/>
      <c r="B142" s="12"/>
      <c r="C142" s="12"/>
      <c r="D142" s="12"/>
      <c r="E142" s="12"/>
      <c r="F142" s="13"/>
      <c r="G142" s="12"/>
    </row>
    <row r="143">
      <c r="A143" s="4"/>
      <c r="B143" s="12"/>
      <c r="C143" s="12"/>
      <c r="D143" s="12"/>
      <c r="E143" s="12"/>
      <c r="F143" s="13"/>
      <c r="G143" s="12"/>
    </row>
    <row r="144">
      <c r="A144" s="4"/>
      <c r="B144" s="12"/>
      <c r="C144" s="12"/>
      <c r="D144" s="12"/>
      <c r="E144" s="12"/>
      <c r="F144" s="13"/>
      <c r="G144" s="12"/>
    </row>
    <row r="145">
      <c r="A145" s="4"/>
      <c r="B145" s="12"/>
      <c r="C145" s="12"/>
      <c r="D145" s="12"/>
      <c r="E145" s="12"/>
      <c r="F145" s="13"/>
      <c r="G145" s="12"/>
    </row>
    <row r="146">
      <c r="A146" s="4"/>
      <c r="B146" s="12"/>
      <c r="C146" s="12"/>
      <c r="D146" s="12"/>
      <c r="E146" s="12"/>
      <c r="F146" s="13"/>
      <c r="G146" s="12"/>
    </row>
    <row r="147">
      <c r="A147" s="4"/>
      <c r="B147" s="12"/>
      <c r="C147" s="12"/>
      <c r="D147" s="12"/>
      <c r="E147" s="12"/>
      <c r="F147" s="13"/>
      <c r="G147" s="12"/>
    </row>
    <row r="148">
      <c r="A148" s="4"/>
      <c r="B148" s="12"/>
      <c r="C148" s="12"/>
      <c r="D148" s="12"/>
      <c r="E148" s="12"/>
      <c r="F148" s="13"/>
      <c r="G148" s="12"/>
    </row>
    <row r="149">
      <c r="A149" s="4"/>
      <c r="B149" s="12"/>
      <c r="C149" s="12"/>
      <c r="D149" s="12"/>
      <c r="E149" s="12"/>
      <c r="F149" s="13"/>
      <c r="G149" s="12"/>
    </row>
    <row r="150">
      <c r="A150" s="4"/>
      <c r="B150" s="12"/>
      <c r="C150" s="12"/>
      <c r="D150" s="12"/>
      <c r="E150" s="12"/>
      <c r="F150" s="13"/>
      <c r="G150" s="12"/>
    </row>
    <row r="151">
      <c r="A151" s="4"/>
      <c r="B151" s="12"/>
      <c r="C151" s="12"/>
      <c r="D151" s="12"/>
      <c r="E151" s="12"/>
      <c r="F151" s="13"/>
      <c r="G151" s="12"/>
    </row>
    <row r="152">
      <c r="A152" s="4"/>
      <c r="B152" s="12"/>
      <c r="C152" s="12"/>
      <c r="D152" s="12"/>
      <c r="E152" s="12"/>
      <c r="F152" s="13"/>
      <c r="G152" s="12"/>
    </row>
    <row r="153">
      <c r="A153" s="4"/>
      <c r="B153" s="12"/>
      <c r="C153" s="12"/>
      <c r="D153" s="12"/>
      <c r="E153" s="12"/>
      <c r="F153" s="13"/>
      <c r="G153" s="12"/>
    </row>
    <row r="154">
      <c r="A154" s="4"/>
      <c r="B154" s="12"/>
      <c r="C154" s="12"/>
      <c r="D154" s="12"/>
      <c r="E154" s="12"/>
      <c r="F154" s="13"/>
      <c r="G154" s="12"/>
    </row>
    <row r="155">
      <c r="A155" s="4"/>
      <c r="B155" s="12"/>
      <c r="C155" s="12"/>
      <c r="D155" s="12"/>
      <c r="E155" s="12"/>
      <c r="F155" s="13"/>
      <c r="G155" s="12"/>
    </row>
    <row r="156">
      <c r="A156" s="4"/>
      <c r="B156" s="12"/>
      <c r="C156" s="12"/>
      <c r="D156" s="12"/>
      <c r="E156" s="12"/>
      <c r="F156" s="13"/>
      <c r="G156" s="12"/>
    </row>
    <row r="157">
      <c r="A157" s="4"/>
      <c r="B157" s="12"/>
      <c r="C157" s="12"/>
      <c r="D157" s="12"/>
      <c r="E157" s="12"/>
      <c r="F157" s="13"/>
      <c r="G157" s="12"/>
    </row>
    <row r="158">
      <c r="A158" s="4"/>
      <c r="B158" s="12"/>
      <c r="C158" s="12"/>
      <c r="D158" s="12"/>
      <c r="E158" s="12"/>
      <c r="F158" s="13"/>
      <c r="G158" s="12"/>
    </row>
    <row r="159">
      <c r="A159" s="4"/>
      <c r="B159" s="12"/>
      <c r="C159" s="12"/>
      <c r="D159" s="12"/>
      <c r="E159" s="12"/>
      <c r="F159" s="13"/>
      <c r="G159" s="12"/>
    </row>
    <row r="160">
      <c r="A160" s="4"/>
      <c r="B160" s="12"/>
      <c r="C160" s="12"/>
      <c r="D160" s="12"/>
      <c r="E160" s="12"/>
      <c r="F160" s="13"/>
      <c r="G160" s="12"/>
    </row>
    <row r="161">
      <c r="A161" s="4"/>
      <c r="B161" s="12"/>
      <c r="C161" s="12"/>
      <c r="D161" s="12"/>
      <c r="E161" s="12"/>
      <c r="F161" s="13"/>
      <c r="G161" s="12"/>
    </row>
    <row r="162">
      <c r="A162" s="4"/>
      <c r="B162" s="12"/>
      <c r="C162" s="12"/>
      <c r="D162" s="12"/>
      <c r="E162" s="12"/>
      <c r="F162" s="13"/>
      <c r="G162" s="12"/>
    </row>
    <row r="163">
      <c r="A163" s="4"/>
      <c r="B163" s="12"/>
      <c r="C163" s="12"/>
      <c r="D163" s="12"/>
      <c r="E163" s="12"/>
      <c r="F163" s="13"/>
      <c r="G163" s="12"/>
    </row>
    <row r="164">
      <c r="A164" s="4"/>
      <c r="B164" s="12"/>
      <c r="C164" s="12"/>
      <c r="D164" s="12"/>
      <c r="E164" s="12"/>
      <c r="F164" s="13"/>
      <c r="G164" s="12"/>
    </row>
    <row r="165">
      <c r="A165" s="4"/>
      <c r="B165" s="12"/>
      <c r="C165" s="12"/>
      <c r="D165" s="12"/>
      <c r="E165" s="12"/>
      <c r="F165" s="13"/>
      <c r="G165" s="12"/>
    </row>
    <row r="166">
      <c r="A166" s="4"/>
      <c r="B166" s="12"/>
      <c r="C166" s="12"/>
      <c r="D166" s="12"/>
      <c r="E166" s="12"/>
      <c r="F166" s="13"/>
      <c r="G166" s="12"/>
    </row>
    <row r="167">
      <c r="A167" s="4"/>
      <c r="B167" s="12"/>
      <c r="C167" s="12"/>
      <c r="D167" s="12"/>
      <c r="E167" s="12"/>
      <c r="F167" s="13"/>
      <c r="G167" s="12"/>
    </row>
    <row r="168">
      <c r="A168" s="4"/>
      <c r="B168" s="12"/>
      <c r="C168" s="12"/>
      <c r="D168" s="12"/>
      <c r="E168" s="12"/>
      <c r="F168" s="13"/>
      <c r="G168" s="12"/>
    </row>
    <row r="169">
      <c r="A169" s="4"/>
      <c r="B169" s="12"/>
      <c r="C169" s="12"/>
      <c r="D169" s="12"/>
      <c r="E169" s="12"/>
      <c r="F169" s="13"/>
      <c r="G169" s="12"/>
    </row>
    <row r="170">
      <c r="A170" s="4"/>
      <c r="B170" s="12"/>
      <c r="C170" s="12"/>
      <c r="D170" s="12"/>
      <c r="E170" s="12"/>
      <c r="F170" s="13"/>
      <c r="G170" s="12"/>
    </row>
    <row r="171">
      <c r="A171" s="4"/>
      <c r="B171" s="12"/>
      <c r="C171" s="12"/>
      <c r="D171" s="12"/>
      <c r="E171" s="12"/>
      <c r="F171" s="13"/>
      <c r="G171" s="12"/>
    </row>
    <row r="172">
      <c r="A172" s="4"/>
      <c r="B172" s="12"/>
      <c r="C172" s="12"/>
      <c r="D172" s="12"/>
      <c r="E172" s="12"/>
      <c r="F172" s="13"/>
      <c r="G172" s="12"/>
    </row>
    <row r="173">
      <c r="A173" s="4"/>
      <c r="B173" s="12"/>
      <c r="C173" s="12"/>
      <c r="D173" s="12"/>
      <c r="E173" s="12"/>
      <c r="F173" s="13"/>
      <c r="G173" s="12"/>
    </row>
    <row r="174">
      <c r="A174" s="4"/>
      <c r="B174" s="12"/>
      <c r="C174" s="12"/>
      <c r="D174" s="12"/>
      <c r="E174" s="12"/>
      <c r="F174" s="13"/>
      <c r="G174" s="12"/>
    </row>
    <row r="175">
      <c r="A175" s="4"/>
      <c r="B175" s="12"/>
      <c r="C175" s="12"/>
      <c r="D175" s="12"/>
      <c r="E175" s="12"/>
      <c r="F175" s="13"/>
      <c r="G175" s="12"/>
    </row>
    <row r="176">
      <c r="A176" s="4"/>
      <c r="B176" s="12"/>
      <c r="C176" s="12"/>
      <c r="D176" s="12"/>
      <c r="E176" s="12"/>
      <c r="F176" s="13"/>
      <c r="G176" s="12"/>
    </row>
    <row r="177">
      <c r="A177" s="4"/>
      <c r="B177" s="12"/>
      <c r="C177" s="12"/>
      <c r="D177" s="12"/>
      <c r="E177" s="12"/>
      <c r="F177" s="13"/>
      <c r="G177" s="12"/>
    </row>
    <row r="178">
      <c r="A178" s="4"/>
      <c r="B178" s="12"/>
      <c r="C178" s="12"/>
      <c r="D178" s="12"/>
      <c r="E178" s="12"/>
      <c r="F178" s="13"/>
      <c r="G178" s="12"/>
    </row>
    <row r="179">
      <c r="A179" s="4"/>
      <c r="B179" s="12"/>
      <c r="C179" s="12"/>
      <c r="D179" s="12"/>
      <c r="E179" s="12"/>
      <c r="F179" s="13"/>
      <c r="G179" s="12"/>
    </row>
    <row r="180">
      <c r="A180" s="4"/>
      <c r="B180" s="12"/>
      <c r="C180" s="12"/>
      <c r="D180" s="12"/>
      <c r="E180" s="12"/>
      <c r="F180" s="13"/>
      <c r="G180" s="12"/>
    </row>
    <row r="181">
      <c r="A181" s="4"/>
      <c r="B181" s="12"/>
      <c r="C181" s="12"/>
      <c r="D181" s="12"/>
      <c r="E181" s="12"/>
      <c r="F181" s="13"/>
      <c r="G181" s="12"/>
    </row>
    <row r="182">
      <c r="A182" s="4"/>
      <c r="B182" s="12"/>
      <c r="C182" s="12"/>
      <c r="D182" s="12"/>
      <c r="E182" s="12"/>
      <c r="F182" s="13"/>
      <c r="G182" s="12"/>
    </row>
    <row r="183">
      <c r="A183" s="4"/>
      <c r="B183" s="12"/>
      <c r="C183" s="12"/>
      <c r="D183" s="12"/>
      <c r="E183" s="12"/>
      <c r="F183" s="13"/>
      <c r="G183" s="12"/>
    </row>
    <row r="184">
      <c r="A184" s="4"/>
      <c r="B184" s="12"/>
      <c r="C184" s="12"/>
      <c r="D184" s="12"/>
      <c r="E184" s="12"/>
      <c r="F184" s="13"/>
      <c r="G184" s="12"/>
    </row>
    <row r="185">
      <c r="A185" s="4"/>
      <c r="B185" s="12"/>
      <c r="C185" s="12"/>
      <c r="D185" s="12"/>
      <c r="E185" s="12"/>
      <c r="F185" s="13"/>
      <c r="G185" s="12"/>
    </row>
    <row r="186">
      <c r="A186" s="4"/>
      <c r="B186" s="12"/>
      <c r="C186" s="12"/>
      <c r="D186" s="12"/>
      <c r="E186" s="12"/>
      <c r="F186" s="13"/>
      <c r="G186" s="12"/>
    </row>
    <row r="187">
      <c r="A187" s="4"/>
      <c r="B187" s="12"/>
      <c r="C187" s="12"/>
      <c r="D187" s="12"/>
      <c r="E187" s="12"/>
      <c r="F187" s="13"/>
      <c r="G187" s="12"/>
    </row>
    <row r="188">
      <c r="A188" s="4"/>
      <c r="B188" s="12"/>
      <c r="C188" s="12"/>
      <c r="D188" s="12"/>
      <c r="E188" s="12"/>
      <c r="F188" s="13"/>
      <c r="G188" s="12"/>
    </row>
    <row r="189">
      <c r="A189" s="4"/>
      <c r="B189" s="12"/>
      <c r="C189" s="12"/>
      <c r="D189" s="12"/>
      <c r="E189" s="12"/>
      <c r="F189" s="13"/>
      <c r="G189" s="12"/>
    </row>
    <row r="190">
      <c r="A190" s="4"/>
      <c r="B190" s="12"/>
      <c r="C190" s="12"/>
      <c r="D190" s="12"/>
      <c r="E190" s="12"/>
      <c r="F190" s="13"/>
      <c r="G190" s="12"/>
    </row>
    <row r="191">
      <c r="A191" s="4"/>
      <c r="B191" s="12"/>
      <c r="C191" s="12"/>
      <c r="D191" s="12"/>
      <c r="E191" s="12"/>
      <c r="F191" s="13"/>
      <c r="G191" s="12"/>
    </row>
    <row r="192">
      <c r="A192" s="4"/>
      <c r="B192" s="12"/>
      <c r="C192" s="12"/>
      <c r="D192" s="12"/>
      <c r="E192" s="12"/>
      <c r="F192" s="13"/>
      <c r="G192" s="12"/>
    </row>
    <row r="193">
      <c r="A193" s="4"/>
      <c r="B193" s="12"/>
      <c r="C193" s="12"/>
      <c r="D193" s="12"/>
      <c r="E193" s="12"/>
      <c r="F193" s="13"/>
      <c r="G193" s="12"/>
    </row>
    <row r="194">
      <c r="A194" s="4"/>
      <c r="B194" s="12"/>
      <c r="C194" s="12"/>
      <c r="D194" s="12"/>
      <c r="E194" s="12"/>
      <c r="F194" s="13"/>
      <c r="G194" s="12"/>
    </row>
    <row r="195">
      <c r="A195" s="4"/>
      <c r="B195" s="12"/>
      <c r="C195" s="12"/>
      <c r="D195" s="12"/>
      <c r="E195" s="12"/>
      <c r="F195" s="13"/>
      <c r="G195" s="12"/>
    </row>
    <row r="196">
      <c r="A196" s="4"/>
      <c r="B196" s="12"/>
      <c r="C196" s="12"/>
      <c r="D196" s="12"/>
      <c r="E196" s="12"/>
      <c r="F196" s="13"/>
      <c r="G196" s="12"/>
    </row>
    <row r="197">
      <c r="A197" s="4"/>
      <c r="B197" s="12"/>
      <c r="C197" s="12"/>
      <c r="D197" s="12"/>
      <c r="E197" s="12"/>
      <c r="F197" s="13"/>
      <c r="G197" s="12"/>
    </row>
    <row r="198">
      <c r="A198" s="4"/>
      <c r="B198" s="12"/>
      <c r="C198" s="12"/>
      <c r="D198" s="12"/>
      <c r="E198" s="12"/>
      <c r="F198" s="13"/>
      <c r="G198" s="12"/>
    </row>
    <row r="199">
      <c r="A199" s="4"/>
      <c r="B199" s="12"/>
      <c r="C199" s="12"/>
      <c r="D199" s="12"/>
      <c r="E199" s="12"/>
      <c r="F199" s="13"/>
      <c r="G199" s="12"/>
    </row>
    <row r="200">
      <c r="A200" s="4"/>
      <c r="B200" s="12"/>
      <c r="C200" s="12"/>
      <c r="D200" s="12"/>
      <c r="E200" s="12"/>
      <c r="F200" s="13"/>
      <c r="G200" s="12"/>
    </row>
    <row r="201">
      <c r="A201" s="4"/>
      <c r="B201" s="12"/>
      <c r="C201" s="12"/>
      <c r="D201" s="12"/>
      <c r="E201" s="12"/>
      <c r="F201" s="13"/>
      <c r="G201" s="12"/>
    </row>
    <row r="202">
      <c r="A202" s="4"/>
      <c r="B202" s="12"/>
      <c r="C202" s="12"/>
      <c r="D202" s="12"/>
      <c r="E202" s="12"/>
      <c r="F202" s="13"/>
      <c r="G202" s="12"/>
    </row>
    <row r="203">
      <c r="A203" s="4"/>
      <c r="B203" s="12"/>
      <c r="C203" s="12"/>
      <c r="D203" s="12"/>
      <c r="E203" s="12"/>
      <c r="F203" s="13"/>
      <c r="G203" s="12"/>
    </row>
    <row r="204">
      <c r="A204" s="4"/>
      <c r="B204" s="12"/>
      <c r="C204" s="12"/>
      <c r="D204" s="12"/>
      <c r="E204" s="12"/>
      <c r="F204" s="13"/>
      <c r="G204" s="12"/>
    </row>
    <row r="205">
      <c r="A205" s="4"/>
      <c r="B205" s="12"/>
      <c r="C205" s="12"/>
      <c r="D205" s="12"/>
      <c r="E205" s="12"/>
      <c r="F205" s="13"/>
      <c r="G205" s="12"/>
    </row>
    <row r="206">
      <c r="A206" s="4"/>
      <c r="B206" s="12"/>
      <c r="C206" s="12"/>
      <c r="D206" s="12"/>
      <c r="E206" s="12"/>
      <c r="F206" s="13"/>
      <c r="G206" s="12"/>
    </row>
    <row r="207">
      <c r="A207" s="4"/>
      <c r="B207" s="12"/>
      <c r="C207" s="12"/>
      <c r="D207" s="12"/>
      <c r="E207" s="12"/>
      <c r="F207" s="13"/>
      <c r="G207" s="12"/>
    </row>
    <row r="208">
      <c r="A208" s="4"/>
      <c r="B208" s="12"/>
      <c r="C208" s="12"/>
      <c r="D208" s="12"/>
      <c r="E208" s="12"/>
      <c r="F208" s="13"/>
      <c r="G208" s="12"/>
    </row>
    <row r="209">
      <c r="A209" s="4"/>
      <c r="B209" s="12"/>
      <c r="C209" s="12"/>
      <c r="D209" s="12"/>
      <c r="E209" s="12"/>
      <c r="F209" s="13"/>
      <c r="G209" s="12"/>
    </row>
    <row r="210">
      <c r="A210" s="4"/>
      <c r="B210" s="12"/>
      <c r="C210" s="12"/>
      <c r="D210" s="12"/>
      <c r="E210" s="12"/>
      <c r="F210" s="13"/>
      <c r="G210" s="12"/>
    </row>
    <row r="211">
      <c r="A211" s="4"/>
      <c r="B211" s="12"/>
      <c r="C211" s="12"/>
      <c r="D211" s="12"/>
      <c r="E211" s="12"/>
      <c r="F211" s="13"/>
      <c r="G211" s="12"/>
    </row>
    <row r="212">
      <c r="A212" s="4"/>
      <c r="B212" s="12"/>
      <c r="C212" s="12"/>
      <c r="D212" s="12"/>
      <c r="E212" s="12"/>
      <c r="F212" s="13"/>
      <c r="G212" s="12"/>
    </row>
    <row r="213">
      <c r="A213" s="4"/>
      <c r="B213" s="12"/>
      <c r="C213" s="12"/>
      <c r="D213" s="12"/>
      <c r="E213" s="12"/>
      <c r="F213" s="13"/>
      <c r="G213" s="12"/>
    </row>
    <row r="214">
      <c r="A214" s="4"/>
      <c r="B214" s="12"/>
      <c r="C214" s="12"/>
      <c r="D214" s="12"/>
      <c r="E214" s="12"/>
      <c r="F214" s="13"/>
      <c r="G214" s="12"/>
    </row>
    <row r="215">
      <c r="A215" s="4"/>
      <c r="B215" s="12"/>
      <c r="C215" s="12"/>
      <c r="D215" s="12"/>
      <c r="E215" s="12"/>
      <c r="F215" s="13"/>
      <c r="G215" s="12"/>
    </row>
    <row r="216">
      <c r="A216" s="4"/>
      <c r="B216" s="12"/>
      <c r="C216" s="12"/>
      <c r="D216" s="12"/>
      <c r="E216" s="12"/>
      <c r="F216" s="13"/>
      <c r="G216" s="12"/>
    </row>
    <row r="217">
      <c r="A217" s="4"/>
      <c r="B217" s="12"/>
      <c r="C217" s="12"/>
      <c r="D217" s="12"/>
      <c r="E217" s="12"/>
      <c r="F217" s="13"/>
      <c r="G217" s="12"/>
    </row>
    <row r="218">
      <c r="A218" s="4"/>
      <c r="B218" s="12"/>
      <c r="C218" s="12"/>
      <c r="D218" s="12"/>
      <c r="E218" s="12"/>
      <c r="F218" s="13"/>
      <c r="G218" s="12"/>
    </row>
    <row r="219">
      <c r="A219" s="4"/>
      <c r="B219" s="12"/>
      <c r="C219" s="12"/>
      <c r="D219" s="12"/>
      <c r="E219" s="12"/>
      <c r="F219" s="13"/>
      <c r="G219" s="12"/>
    </row>
    <row r="220">
      <c r="A220" s="4"/>
      <c r="B220" s="12"/>
      <c r="C220" s="12"/>
      <c r="D220" s="12"/>
      <c r="E220" s="12"/>
      <c r="F220" s="13"/>
      <c r="G220" s="12"/>
    </row>
    <row r="221">
      <c r="A221" s="4"/>
      <c r="B221" s="12"/>
      <c r="C221" s="12"/>
      <c r="D221" s="12"/>
      <c r="E221" s="12"/>
      <c r="F221" s="13"/>
      <c r="G221" s="12"/>
    </row>
    <row r="222">
      <c r="A222" s="4"/>
      <c r="B222" s="12"/>
      <c r="C222" s="12"/>
      <c r="D222" s="12"/>
      <c r="E222" s="12"/>
      <c r="F222" s="13"/>
      <c r="G222" s="12"/>
    </row>
    <row r="223">
      <c r="A223" s="4"/>
      <c r="B223" s="12"/>
      <c r="C223" s="12"/>
      <c r="D223" s="12"/>
      <c r="E223" s="12"/>
      <c r="F223" s="13"/>
      <c r="G223" s="12"/>
    </row>
    <row r="224">
      <c r="A224" s="4"/>
      <c r="B224" s="12"/>
      <c r="C224" s="12"/>
      <c r="D224" s="12"/>
      <c r="E224" s="12"/>
      <c r="F224" s="13"/>
      <c r="G224" s="12"/>
    </row>
    <row r="225">
      <c r="A225" s="4"/>
      <c r="B225" s="12"/>
      <c r="C225" s="12"/>
      <c r="D225" s="12"/>
      <c r="E225" s="12"/>
      <c r="F225" s="13"/>
      <c r="G225" s="12"/>
    </row>
    <row r="226">
      <c r="A226" s="4"/>
      <c r="B226" s="12"/>
      <c r="C226" s="12"/>
      <c r="D226" s="12"/>
      <c r="E226" s="12"/>
      <c r="F226" s="13"/>
      <c r="G226" s="12"/>
    </row>
    <row r="227">
      <c r="A227" s="4"/>
      <c r="B227" s="12"/>
      <c r="C227" s="12"/>
      <c r="D227" s="12"/>
      <c r="E227" s="12"/>
      <c r="F227" s="13"/>
      <c r="G227" s="12"/>
    </row>
    <row r="228">
      <c r="A228" s="4"/>
      <c r="B228" s="12"/>
      <c r="C228" s="12"/>
      <c r="D228" s="12"/>
      <c r="E228" s="12"/>
      <c r="F228" s="13"/>
      <c r="G228" s="12"/>
    </row>
    <row r="229">
      <c r="A229" s="4"/>
      <c r="B229" s="12"/>
      <c r="C229" s="12"/>
      <c r="D229" s="12"/>
      <c r="E229" s="12"/>
      <c r="F229" s="13"/>
      <c r="G229" s="12"/>
    </row>
    <row r="230">
      <c r="A230" s="4"/>
      <c r="B230" s="12"/>
      <c r="C230" s="12"/>
      <c r="D230" s="12"/>
      <c r="E230" s="12"/>
      <c r="F230" s="13"/>
      <c r="G230" s="12"/>
    </row>
    <row r="231">
      <c r="A231" s="4"/>
      <c r="B231" s="12"/>
      <c r="C231" s="12"/>
      <c r="D231" s="12"/>
      <c r="E231" s="12"/>
      <c r="F231" s="13"/>
      <c r="G231" s="12"/>
    </row>
    <row r="232">
      <c r="A232" s="4"/>
      <c r="B232" s="12"/>
      <c r="C232" s="12"/>
      <c r="D232" s="12"/>
      <c r="E232" s="12"/>
      <c r="F232" s="13"/>
      <c r="G232" s="12"/>
    </row>
    <row r="233">
      <c r="A233" s="4"/>
      <c r="B233" s="12"/>
      <c r="C233" s="12"/>
      <c r="D233" s="12"/>
      <c r="E233" s="12"/>
      <c r="F233" s="13"/>
      <c r="G233" s="12"/>
    </row>
    <row r="234">
      <c r="A234" s="4"/>
      <c r="B234" s="12"/>
      <c r="C234" s="12"/>
      <c r="D234" s="12"/>
      <c r="E234" s="12"/>
      <c r="F234" s="13"/>
      <c r="G234" s="12"/>
    </row>
    <row r="235">
      <c r="A235" s="4"/>
      <c r="B235" s="12"/>
      <c r="C235" s="12"/>
      <c r="D235" s="12"/>
      <c r="E235" s="12"/>
      <c r="F235" s="13"/>
      <c r="G235" s="12"/>
    </row>
    <row r="236">
      <c r="A236" s="4"/>
      <c r="B236" s="12"/>
      <c r="C236" s="12"/>
      <c r="D236" s="12"/>
      <c r="E236" s="12"/>
      <c r="F236" s="13"/>
      <c r="G236" s="12"/>
    </row>
    <row r="237">
      <c r="A237" s="4"/>
      <c r="B237" s="12"/>
      <c r="C237" s="12"/>
      <c r="D237" s="12"/>
      <c r="E237" s="12"/>
      <c r="F237" s="13"/>
      <c r="G237" s="12"/>
    </row>
    <row r="238">
      <c r="A238" s="4"/>
      <c r="B238" s="12"/>
      <c r="C238" s="12"/>
      <c r="D238" s="12"/>
      <c r="E238" s="12"/>
      <c r="F238" s="13"/>
      <c r="G238" s="12"/>
    </row>
    <row r="239">
      <c r="A239" s="4"/>
      <c r="B239" s="12"/>
      <c r="C239" s="12"/>
      <c r="D239" s="12"/>
      <c r="E239" s="12"/>
      <c r="F239" s="13"/>
      <c r="G239" s="12"/>
    </row>
    <row r="240">
      <c r="A240" s="4"/>
      <c r="B240" s="12"/>
      <c r="C240" s="12"/>
      <c r="D240" s="12"/>
      <c r="E240" s="12"/>
      <c r="F240" s="13"/>
      <c r="G240" s="12"/>
    </row>
    <row r="241">
      <c r="A241" s="4"/>
      <c r="B241" s="12"/>
      <c r="C241" s="12"/>
      <c r="D241" s="12"/>
      <c r="E241" s="12"/>
      <c r="F241" s="13"/>
      <c r="G241" s="12"/>
    </row>
    <row r="242">
      <c r="A242" s="4"/>
      <c r="B242" s="12"/>
      <c r="C242" s="12"/>
      <c r="D242" s="12"/>
      <c r="E242" s="12"/>
      <c r="F242" s="13"/>
      <c r="G242" s="12"/>
    </row>
    <row r="243">
      <c r="A243" s="4"/>
      <c r="B243" s="12"/>
      <c r="C243" s="12"/>
      <c r="D243" s="12"/>
      <c r="E243" s="12"/>
      <c r="F243" s="13"/>
      <c r="G243" s="12"/>
    </row>
    <row r="244">
      <c r="A244" s="4"/>
      <c r="B244" s="12"/>
      <c r="C244" s="12"/>
      <c r="D244" s="12"/>
      <c r="E244" s="12"/>
      <c r="F244" s="13"/>
      <c r="G244" s="12"/>
    </row>
    <row r="245">
      <c r="A245" s="4"/>
      <c r="B245" s="12"/>
      <c r="C245" s="12"/>
      <c r="D245" s="12"/>
      <c r="E245" s="12"/>
      <c r="F245" s="13"/>
      <c r="G245" s="12"/>
    </row>
    <row r="246">
      <c r="A246" s="4"/>
      <c r="B246" s="12"/>
      <c r="C246" s="12"/>
      <c r="D246" s="12"/>
      <c r="E246" s="12"/>
      <c r="F246" s="13"/>
      <c r="G246" s="12"/>
    </row>
    <row r="247">
      <c r="A247" s="4"/>
      <c r="B247" s="12"/>
      <c r="C247" s="12"/>
      <c r="D247" s="12"/>
      <c r="E247" s="12"/>
      <c r="F247" s="13"/>
      <c r="G247" s="12"/>
    </row>
    <row r="248">
      <c r="A248" s="4"/>
      <c r="B248" s="12"/>
      <c r="C248" s="12"/>
      <c r="D248" s="12"/>
      <c r="E248" s="12"/>
      <c r="F248" s="13"/>
      <c r="G248" s="12"/>
    </row>
    <row r="249">
      <c r="A249" s="4"/>
      <c r="B249" s="12"/>
      <c r="C249" s="12"/>
      <c r="D249" s="12"/>
      <c r="E249" s="12"/>
      <c r="F249" s="13"/>
      <c r="G249" s="12"/>
    </row>
    <row r="250">
      <c r="A250" s="4"/>
      <c r="B250" s="12"/>
      <c r="C250" s="12"/>
      <c r="D250" s="12"/>
      <c r="E250" s="12"/>
      <c r="F250" s="13"/>
      <c r="G250" s="12"/>
    </row>
    <row r="251">
      <c r="A251" s="4"/>
      <c r="B251" s="12"/>
      <c r="C251" s="12"/>
      <c r="D251" s="12"/>
      <c r="E251" s="12"/>
      <c r="F251" s="13"/>
      <c r="G251" s="12"/>
    </row>
    <row r="252">
      <c r="A252" s="4"/>
      <c r="B252" s="12"/>
      <c r="C252" s="12"/>
      <c r="D252" s="12"/>
      <c r="E252" s="12"/>
      <c r="F252" s="13"/>
      <c r="G252" s="12"/>
    </row>
    <row r="253">
      <c r="A253" s="4"/>
      <c r="B253" s="12"/>
      <c r="C253" s="12"/>
      <c r="D253" s="12"/>
      <c r="E253" s="12"/>
      <c r="F253" s="13"/>
      <c r="G253" s="12"/>
    </row>
    <row r="254">
      <c r="A254" s="4"/>
      <c r="B254" s="12"/>
      <c r="C254" s="12"/>
      <c r="D254" s="12"/>
      <c r="E254" s="12"/>
      <c r="F254" s="13"/>
      <c r="G254" s="12"/>
    </row>
    <row r="255">
      <c r="A255" s="4"/>
      <c r="B255" s="12"/>
      <c r="C255" s="12"/>
      <c r="D255" s="12"/>
      <c r="E255" s="12"/>
      <c r="F255" s="13"/>
      <c r="G255" s="12"/>
    </row>
    <row r="256">
      <c r="A256" s="4"/>
      <c r="B256" s="12"/>
      <c r="C256" s="12"/>
      <c r="D256" s="12"/>
      <c r="E256" s="12"/>
      <c r="F256" s="13"/>
      <c r="G256" s="12"/>
    </row>
    <row r="257">
      <c r="A257" s="4"/>
      <c r="B257" s="12"/>
      <c r="C257" s="12"/>
      <c r="D257" s="12"/>
      <c r="E257" s="12"/>
      <c r="F257" s="13"/>
      <c r="G257" s="12"/>
    </row>
    <row r="258">
      <c r="A258" s="4"/>
      <c r="B258" s="12"/>
      <c r="C258" s="12"/>
      <c r="D258" s="12"/>
      <c r="E258" s="12"/>
      <c r="F258" s="13"/>
      <c r="G258" s="12"/>
    </row>
    <row r="259">
      <c r="A259" s="4"/>
      <c r="B259" s="12"/>
      <c r="C259" s="12"/>
      <c r="D259" s="12"/>
      <c r="E259" s="12"/>
      <c r="F259" s="13"/>
      <c r="G259" s="12"/>
    </row>
    <row r="260">
      <c r="A260" s="4"/>
      <c r="B260" s="12"/>
      <c r="C260" s="12"/>
      <c r="D260" s="12"/>
      <c r="E260" s="12"/>
      <c r="F260" s="13"/>
      <c r="G260" s="12"/>
    </row>
    <row r="261">
      <c r="A261" s="4"/>
      <c r="B261" s="12"/>
      <c r="C261" s="12"/>
      <c r="D261" s="12"/>
      <c r="E261" s="12"/>
      <c r="F261" s="13"/>
      <c r="G261" s="12"/>
    </row>
    <row r="262">
      <c r="A262" s="4"/>
      <c r="B262" s="12"/>
      <c r="C262" s="12"/>
      <c r="D262" s="12"/>
      <c r="E262" s="12"/>
      <c r="F262" s="13"/>
      <c r="G262" s="12"/>
    </row>
    <row r="263">
      <c r="A263" s="4"/>
      <c r="B263" s="12"/>
      <c r="C263" s="12"/>
      <c r="D263" s="12"/>
      <c r="E263" s="12"/>
      <c r="F263" s="13"/>
      <c r="G263" s="12"/>
    </row>
    <row r="264">
      <c r="A264" s="4"/>
      <c r="B264" s="12"/>
      <c r="C264" s="12"/>
      <c r="D264" s="12"/>
      <c r="E264" s="12"/>
      <c r="F264" s="13"/>
      <c r="G264" s="12"/>
    </row>
    <row r="265">
      <c r="A265" s="4"/>
      <c r="B265" s="12"/>
      <c r="C265" s="12"/>
      <c r="D265" s="12"/>
      <c r="E265" s="12"/>
      <c r="F265" s="13"/>
      <c r="G265" s="12"/>
    </row>
    <row r="266">
      <c r="A266" s="4"/>
      <c r="B266" s="12"/>
      <c r="C266" s="12"/>
      <c r="D266" s="12"/>
      <c r="E266" s="12"/>
      <c r="F266" s="13"/>
      <c r="G266" s="12"/>
    </row>
    <row r="267">
      <c r="A267" s="4"/>
      <c r="B267" s="12"/>
      <c r="C267" s="12"/>
      <c r="D267" s="12"/>
      <c r="E267" s="12"/>
      <c r="F267" s="13"/>
      <c r="G267" s="12"/>
    </row>
    <row r="268">
      <c r="A268" s="4"/>
      <c r="B268" s="12"/>
      <c r="C268" s="12"/>
      <c r="D268" s="12"/>
      <c r="E268" s="12"/>
      <c r="F268" s="13"/>
      <c r="G268" s="12"/>
    </row>
    <row r="269">
      <c r="A269" s="4"/>
      <c r="B269" s="12"/>
      <c r="C269" s="12"/>
      <c r="D269" s="12"/>
      <c r="E269" s="12"/>
      <c r="F269" s="13"/>
      <c r="G269" s="12"/>
    </row>
    <row r="270">
      <c r="A270" s="4"/>
      <c r="B270" s="12"/>
      <c r="C270" s="12"/>
      <c r="D270" s="12"/>
      <c r="E270" s="12"/>
      <c r="F270" s="13"/>
      <c r="G270" s="12"/>
    </row>
    <row r="271">
      <c r="A271" s="4"/>
      <c r="B271" s="12"/>
      <c r="C271" s="12"/>
      <c r="D271" s="12"/>
      <c r="E271" s="12"/>
      <c r="F271" s="13"/>
      <c r="G271" s="12"/>
    </row>
    <row r="272">
      <c r="A272" s="4"/>
      <c r="B272" s="12"/>
      <c r="C272" s="12"/>
      <c r="D272" s="12"/>
      <c r="E272" s="12"/>
      <c r="F272" s="13"/>
      <c r="G272" s="12"/>
    </row>
    <row r="273">
      <c r="A273" s="4"/>
      <c r="B273" s="12"/>
      <c r="C273" s="12"/>
      <c r="D273" s="12"/>
      <c r="E273" s="12"/>
      <c r="F273" s="13"/>
      <c r="G273" s="12"/>
    </row>
    <row r="274">
      <c r="A274" s="4"/>
      <c r="B274" s="12"/>
      <c r="C274" s="12"/>
      <c r="D274" s="12"/>
      <c r="E274" s="12"/>
      <c r="F274" s="13"/>
      <c r="G274" s="12"/>
    </row>
    <row r="275">
      <c r="A275" s="4"/>
      <c r="B275" s="12"/>
      <c r="C275" s="12"/>
      <c r="D275" s="12"/>
      <c r="E275" s="12"/>
      <c r="F275" s="13"/>
      <c r="G275" s="12"/>
    </row>
    <row r="276">
      <c r="A276" s="4"/>
      <c r="B276" s="12"/>
      <c r="C276" s="12"/>
      <c r="D276" s="12"/>
      <c r="E276" s="12"/>
      <c r="F276" s="13"/>
      <c r="G276" s="12"/>
    </row>
    <row r="277">
      <c r="A277" s="4"/>
      <c r="B277" s="12"/>
      <c r="C277" s="12"/>
      <c r="D277" s="12"/>
      <c r="E277" s="12"/>
      <c r="F277" s="13"/>
      <c r="G277" s="12"/>
    </row>
    <row r="278">
      <c r="A278" s="4"/>
      <c r="B278" s="12"/>
      <c r="C278" s="12"/>
      <c r="D278" s="12"/>
      <c r="E278" s="12"/>
      <c r="F278" s="13"/>
      <c r="G278" s="12"/>
    </row>
    <row r="279">
      <c r="A279" s="4"/>
      <c r="B279" s="12"/>
      <c r="C279" s="12"/>
      <c r="D279" s="12"/>
      <c r="E279" s="12"/>
      <c r="F279" s="13"/>
      <c r="G279" s="12"/>
    </row>
    <row r="280">
      <c r="A280" s="4"/>
      <c r="B280" s="12"/>
      <c r="C280" s="12"/>
      <c r="D280" s="12"/>
      <c r="E280" s="12"/>
      <c r="F280" s="13"/>
      <c r="G280" s="12"/>
    </row>
    <row r="281">
      <c r="A281" s="4"/>
      <c r="B281" s="12"/>
      <c r="C281" s="12"/>
      <c r="D281" s="12"/>
      <c r="E281" s="12"/>
      <c r="F281" s="13"/>
      <c r="G281" s="12"/>
    </row>
    <row r="282">
      <c r="A282" s="4"/>
      <c r="B282" s="12"/>
      <c r="C282" s="12"/>
      <c r="D282" s="12"/>
      <c r="E282" s="12"/>
      <c r="F282" s="13"/>
      <c r="G282" s="12"/>
    </row>
    <row r="283">
      <c r="A283" s="4"/>
      <c r="B283" s="12"/>
      <c r="C283" s="12"/>
      <c r="D283" s="12"/>
      <c r="E283" s="12"/>
      <c r="F283" s="13"/>
      <c r="G283" s="12"/>
    </row>
    <row r="284">
      <c r="A284" s="4"/>
      <c r="B284" s="12"/>
      <c r="C284" s="12"/>
      <c r="D284" s="12"/>
      <c r="E284" s="12"/>
      <c r="F284" s="13"/>
      <c r="G284" s="12"/>
    </row>
    <row r="285">
      <c r="A285" s="4"/>
      <c r="B285" s="12"/>
      <c r="C285" s="12"/>
      <c r="D285" s="12"/>
      <c r="E285" s="12"/>
      <c r="F285" s="13"/>
      <c r="G285" s="12"/>
    </row>
    <row r="286">
      <c r="A286" s="4"/>
      <c r="B286" s="12"/>
      <c r="C286" s="12"/>
      <c r="D286" s="12"/>
      <c r="E286" s="12"/>
      <c r="F286" s="13"/>
      <c r="G286" s="12"/>
    </row>
    <row r="287">
      <c r="A287" s="4"/>
      <c r="B287" s="12"/>
      <c r="C287" s="12"/>
      <c r="D287" s="12"/>
      <c r="E287" s="12"/>
      <c r="F287" s="13"/>
      <c r="G287" s="12"/>
    </row>
    <row r="288">
      <c r="A288" s="4"/>
      <c r="B288" s="12"/>
      <c r="C288" s="12"/>
      <c r="D288" s="12"/>
      <c r="E288" s="12"/>
      <c r="F288" s="13"/>
      <c r="G288" s="12"/>
    </row>
    <row r="289">
      <c r="A289" s="4"/>
      <c r="B289" s="12"/>
      <c r="C289" s="12"/>
      <c r="D289" s="12"/>
      <c r="E289" s="12"/>
      <c r="F289" s="13"/>
      <c r="G289" s="12"/>
    </row>
    <row r="290">
      <c r="A290" s="4"/>
      <c r="B290" s="12"/>
      <c r="C290" s="12"/>
      <c r="D290" s="12"/>
      <c r="E290" s="12"/>
      <c r="F290" s="13"/>
      <c r="G290" s="12"/>
    </row>
    <row r="291">
      <c r="A291" s="4"/>
      <c r="B291" s="12"/>
      <c r="C291" s="12"/>
      <c r="D291" s="12"/>
      <c r="E291" s="12"/>
      <c r="F291" s="13"/>
      <c r="G291" s="12"/>
    </row>
    <row r="292">
      <c r="A292" s="4"/>
      <c r="B292" s="12"/>
      <c r="C292" s="12"/>
      <c r="D292" s="12"/>
      <c r="E292" s="12"/>
      <c r="F292" s="13"/>
      <c r="G292" s="12"/>
    </row>
    <row r="293">
      <c r="A293" s="4"/>
      <c r="B293" s="12"/>
      <c r="C293" s="12"/>
      <c r="D293" s="12"/>
      <c r="E293" s="12"/>
      <c r="F293" s="13"/>
      <c r="G293" s="12"/>
    </row>
    <row r="294">
      <c r="A294" s="4"/>
      <c r="B294" s="12"/>
      <c r="C294" s="12"/>
      <c r="D294" s="12"/>
      <c r="E294" s="12"/>
      <c r="F294" s="13"/>
      <c r="G294" s="12"/>
    </row>
    <row r="295">
      <c r="A295" s="4"/>
      <c r="B295" s="12"/>
      <c r="C295" s="12"/>
      <c r="D295" s="12"/>
      <c r="E295" s="12"/>
      <c r="F295" s="13"/>
      <c r="G295" s="12"/>
    </row>
    <row r="296">
      <c r="A296" s="4"/>
      <c r="B296" s="12"/>
      <c r="C296" s="12"/>
      <c r="D296" s="12"/>
      <c r="E296" s="12"/>
      <c r="F296" s="13"/>
      <c r="G296" s="12"/>
    </row>
    <row r="297">
      <c r="A297" s="4"/>
      <c r="B297" s="12"/>
      <c r="C297" s="12"/>
      <c r="D297" s="12"/>
      <c r="E297" s="12"/>
      <c r="F297" s="13"/>
      <c r="G297" s="12"/>
    </row>
    <row r="298">
      <c r="A298" s="4"/>
      <c r="B298" s="12"/>
      <c r="C298" s="12"/>
      <c r="D298" s="12"/>
      <c r="E298" s="12"/>
      <c r="F298" s="13"/>
      <c r="G298" s="12"/>
    </row>
    <row r="299">
      <c r="A299" s="4"/>
      <c r="B299" s="12"/>
      <c r="C299" s="12"/>
      <c r="D299" s="12"/>
      <c r="E299" s="12"/>
      <c r="F299" s="13"/>
      <c r="G299" s="12"/>
    </row>
    <row r="300">
      <c r="A300" s="4"/>
      <c r="B300" s="12"/>
      <c r="C300" s="12"/>
      <c r="D300" s="12"/>
      <c r="E300" s="12"/>
      <c r="F300" s="13"/>
      <c r="G300" s="12"/>
    </row>
    <row r="301">
      <c r="A301" s="4"/>
      <c r="B301" s="12"/>
      <c r="C301" s="12"/>
      <c r="D301" s="12"/>
      <c r="E301" s="12"/>
      <c r="F301" s="13"/>
      <c r="G301" s="12"/>
    </row>
    <row r="302">
      <c r="A302" s="4"/>
      <c r="B302" s="12"/>
      <c r="C302" s="12"/>
      <c r="D302" s="12"/>
      <c r="E302" s="12"/>
      <c r="F302" s="13"/>
      <c r="G302" s="12"/>
    </row>
    <row r="303">
      <c r="A303" s="4"/>
      <c r="B303" s="12"/>
      <c r="C303" s="12"/>
      <c r="D303" s="12"/>
      <c r="E303" s="12"/>
      <c r="F303" s="13"/>
      <c r="G303" s="12"/>
    </row>
    <row r="304">
      <c r="A304" s="4"/>
      <c r="B304" s="12"/>
      <c r="C304" s="12"/>
      <c r="D304" s="12"/>
      <c r="E304" s="12"/>
      <c r="F304" s="13"/>
      <c r="G304" s="12"/>
    </row>
    <row r="305">
      <c r="A305" s="4"/>
      <c r="B305" s="12"/>
      <c r="C305" s="12"/>
      <c r="D305" s="12"/>
      <c r="E305" s="12"/>
      <c r="F305" s="13"/>
      <c r="G305" s="12"/>
    </row>
    <row r="306">
      <c r="A306" s="4"/>
      <c r="B306" s="12"/>
      <c r="C306" s="12"/>
      <c r="D306" s="12"/>
      <c r="E306" s="12"/>
      <c r="F306" s="13"/>
      <c r="G306" s="12"/>
    </row>
    <row r="307">
      <c r="A307" s="4"/>
      <c r="B307" s="12"/>
      <c r="C307" s="12"/>
      <c r="D307" s="12"/>
      <c r="E307" s="12"/>
      <c r="F307" s="13"/>
      <c r="G307" s="12"/>
    </row>
    <row r="308">
      <c r="A308" s="4"/>
      <c r="B308" s="12"/>
      <c r="C308" s="12"/>
      <c r="D308" s="12"/>
      <c r="E308" s="12"/>
      <c r="F308" s="13"/>
      <c r="G308" s="12"/>
    </row>
    <row r="309">
      <c r="A309" s="4"/>
      <c r="B309" s="12"/>
      <c r="C309" s="12"/>
      <c r="D309" s="12"/>
      <c r="E309" s="12"/>
      <c r="F309" s="13"/>
      <c r="G309" s="12"/>
    </row>
    <row r="310">
      <c r="A310" s="4"/>
      <c r="B310" s="12"/>
      <c r="C310" s="12"/>
      <c r="D310" s="12"/>
      <c r="E310" s="12"/>
      <c r="F310" s="13"/>
      <c r="G310" s="12"/>
    </row>
    <row r="311">
      <c r="A311" s="4"/>
      <c r="B311" s="12"/>
      <c r="C311" s="12"/>
      <c r="D311" s="12"/>
      <c r="E311" s="12"/>
      <c r="F311" s="13"/>
      <c r="G311" s="12"/>
    </row>
    <row r="312">
      <c r="A312" s="4"/>
      <c r="B312" s="12"/>
      <c r="C312" s="12"/>
      <c r="D312" s="12"/>
      <c r="E312" s="12"/>
      <c r="F312" s="13"/>
      <c r="G312" s="12"/>
    </row>
    <row r="313">
      <c r="A313" s="4"/>
      <c r="B313" s="12"/>
      <c r="C313" s="12"/>
      <c r="D313" s="12"/>
      <c r="E313" s="12"/>
      <c r="F313" s="13"/>
      <c r="G313" s="12"/>
    </row>
    <row r="314">
      <c r="A314" s="4"/>
      <c r="B314" s="12"/>
      <c r="C314" s="12"/>
      <c r="D314" s="12"/>
      <c r="E314" s="12"/>
      <c r="F314" s="13"/>
      <c r="G314" s="12"/>
    </row>
    <row r="315">
      <c r="A315" s="4"/>
      <c r="B315" s="12"/>
      <c r="C315" s="12"/>
      <c r="D315" s="12"/>
      <c r="E315" s="12"/>
      <c r="F315" s="13"/>
      <c r="G315" s="12"/>
    </row>
    <row r="316">
      <c r="A316" s="4"/>
      <c r="B316" s="12"/>
      <c r="C316" s="12"/>
      <c r="D316" s="12"/>
      <c r="E316" s="12"/>
      <c r="F316" s="13"/>
      <c r="G316" s="12"/>
    </row>
    <row r="317">
      <c r="A317" s="4"/>
      <c r="B317" s="12"/>
      <c r="C317" s="12"/>
      <c r="D317" s="12"/>
      <c r="E317" s="12"/>
      <c r="F317" s="13"/>
      <c r="G317" s="12"/>
    </row>
    <row r="318">
      <c r="A318" s="4"/>
      <c r="B318" s="12"/>
      <c r="C318" s="12"/>
      <c r="D318" s="12"/>
      <c r="E318" s="12"/>
      <c r="F318" s="13"/>
      <c r="G318" s="12"/>
    </row>
    <row r="319">
      <c r="A319" s="4"/>
      <c r="B319" s="12"/>
      <c r="C319" s="12"/>
      <c r="D319" s="12"/>
      <c r="E319" s="12"/>
      <c r="F319" s="13"/>
      <c r="G319" s="12"/>
    </row>
    <row r="320">
      <c r="A320" s="4"/>
      <c r="B320" s="12"/>
      <c r="C320" s="12"/>
      <c r="D320" s="12"/>
      <c r="E320" s="12"/>
      <c r="F320" s="13"/>
      <c r="G320" s="12"/>
    </row>
    <row r="321">
      <c r="A321" s="4"/>
      <c r="B321" s="12"/>
      <c r="C321" s="12"/>
      <c r="D321" s="12"/>
      <c r="E321" s="12"/>
      <c r="F321" s="13"/>
      <c r="G321" s="12"/>
    </row>
    <row r="322">
      <c r="A322" s="4"/>
      <c r="B322" s="12"/>
      <c r="C322" s="12"/>
      <c r="D322" s="12"/>
      <c r="E322" s="12"/>
      <c r="F322" s="13"/>
      <c r="G322" s="12"/>
    </row>
    <row r="323">
      <c r="A323" s="4"/>
      <c r="B323" s="12"/>
      <c r="C323" s="12"/>
      <c r="D323" s="12"/>
      <c r="E323" s="12"/>
      <c r="F323" s="13"/>
      <c r="G323" s="12"/>
    </row>
    <row r="324">
      <c r="A324" s="4"/>
      <c r="B324" s="12"/>
      <c r="C324" s="12"/>
      <c r="D324" s="12"/>
      <c r="E324" s="12"/>
      <c r="F324" s="13"/>
      <c r="G324" s="12"/>
    </row>
    <row r="325">
      <c r="A325" s="4"/>
      <c r="B325" s="12"/>
      <c r="C325" s="12"/>
      <c r="D325" s="12"/>
      <c r="E325" s="12"/>
      <c r="F325" s="13"/>
      <c r="G325" s="12"/>
    </row>
    <row r="326">
      <c r="A326" s="4"/>
      <c r="B326" s="12"/>
      <c r="C326" s="12"/>
      <c r="D326" s="12"/>
      <c r="E326" s="12"/>
      <c r="F326" s="13"/>
      <c r="G326" s="12"/>
    </row>
    <row r="327">
      <c r="A327" s="4"/>
      <c r="B327" s="12"/>
      <c r="C327" s="12"/>
      <c r="D327" s="12"/>
      <c r="E327" s="12"/>
      <c r="F327" s="13"/>
      <c r="G327" s="12"/>
    </row>
    <row r="328">
      <c r="A328" s="4"/>
      <c r="B328" s="12"/>
      <c r="C328" s="12"/>
      <c r="D328" s="12"/>
      <c r="E328" s="12"/>
      <c r="F328" s="13"/>
      <c r="G328" s="12"/>
    </row>
    <row r="329">
      <c r="A329" s="4"/>
      <c r="B329" s="12"/>
      <c r="C329" s="12"/>
      <c r="D329" s="12"/>
      <c r="E329" s="12"/>
      <c r="F329" s="13"/>
      <c r="G329" s="12"/>
    </row>
    <row r="330">
      <c r="A330" s="4"/>
      <c r="B330" s="12"/>
      <c r="C330" s="12"/>
      <c r="D330" s="12"/>
      <c r="E330" s="12"/>
      <c r="F330" s="13"/>
      <c r="G330" s="12"/>
    </row>
    <row r="331">
      <c r="A331" s="4"/>
      <c r="B331" s="12"/>
      <c r="C331" s="12"/>
      <c r="D331" s="12"/>
      <c r="E331" s="12"/>
      <c r="F331" s="13"/>
      <c r="G331" s="12"/>
    </row>
    <row r="332">
      <c r="A332" s="4"/>
      <c r="B332" s="12"/>
      <c r="C332" s="12"/>
      <c r="D332" s="12"/>
      <c r="E332" s="12"/>
      <c r="F332" s="13"/>
      <c r="G332" s="12"/>
    </row>
    <row r="333">
      <c r="A333" s="4"/>
      <c r="B333" s="12"/>
      <c r="C333" s="12"/>
      <c r="D333" s="12"/>
      <c r="E333" s="12"/>
      <c r="F333" s="13"/>
      <c r="G333" s="12"/>
    </row>
    <row r="334">
      <c r="A334" s="4"/>
      <c r="B334" s="12"/>
      <c r="C334" s="12"/>
      <c r="D334" s="12"/>
      <c r="E334" s="12"/>
      <c r="F334" s="13"/>
      <c r="G334" s="12"/>
    </row>
    <row r="335">
      <c r="A335" s="4"/>
      <c r="B335" s="12"/>
      <c r="C335" s="12"/>
      <c r="D335" s="12"/>
      <c r="E335" s="12"/>
      <c r="F335" s="13"/>
      <c r="G335" s="12"/>
    </row>
    <row r="336">
      <c r="A336" s="4"/>
      <c r="B336" s="12"/>
      <c r="C336" s="12"/>
      <c r="D336" s="12"/>
      <c r="E336" s="12"/>
      <c r="F336" s="13"/>
      <c r="G336" s="12"/>
    </row>
    <row r="337">
      <c r="A337" s="4"/>
      <c r="B337" s="12"/>
      <c r="C337" s="12"/>
      <c r="D337" s="12"/>
      <c r="E337" s="12"/>
      <c r="F337" s="13"/>
      <c r="G337" s="12"/>
    </row>
    <row r="338">
      <c r="A338" s="4"/>
      <c r="B338" s="12"/>
      <c r="C338" s="12"/>
      <c r="D338" s="12"/>
      <c r="E338" s="12"/>
      <c r="F338" s="13"/>
      <c r="G338" s="12"/>
    </row>
    <row r="339">
      <c r="A339" s="4"/>
      <c r="B339" s="12"/>
      <c r="C339" s="12"/>
      <c r="D339" s="12"/>
      <c r="E339" s="12"/>
      <c r="F339" s="13"/>
      <c r="G339" s="12"/>
    </row>
    <row r="340">
      <c r="A340" s="4"/>
      <c r="B340" s="12"/>
      <c r="C340" s="12"/>
      <c r="D340" s="12"/>
      <c r="E340" s="12"/>
      <c r="F340" s="13"/>
      <c r="G340" s="12"/>
    </row>
    <row r="341">
      <c r="A341" s="4"/>
      <c r="B341" s="12"/>
      <c r="C341" s="12"/>
      <c r="D341" s="12"/>
      <c r="E341" s="12"/>
      <c r="F341" s="13"/>
      <c r="G341" s="12"/>
    </row>
    <row r="342">
      <c r="A342" s="4"/>
      <c r="B342" s="12"/>
      <c r="C342" s="12"/>
      <c r="D342" s="12"/>
      <c r="E342" s="12"/>
      <c r="F342" s="13"/>
      <c r="G342" s="12"/>
    </row>
    <row r="343">
      <c r="A343" s="4"/>
      <c r="B343" s="12"/>
      <c r="C343" s="12"/>
      <c r="D343" s="12"/>
      <c r="E343" s="12"/>
      <c r="F343" s="13"/>
      <c r="G343" s="12"/>
    </row>
    <row r="344">
      <c r="A344" s="4"/>
      <c r="B344" s="12"/>
      <c r="C344" s="12"/>
      <c r="D344" s="12"/>
      <c r="E344" s="12"/>
      <c r="F344" s="13"/>
      <c r="G344" s="12"/>
    </row>
    <row r="345">
      <c r="A345" s="4"/>
      <c r="B345" s="12"/>
      <c r="C345" s="12"/>
      <c r="D345" s="12"/>
      <c r="E345" s="12"/>
      <c r="F345" s="13"/>
      <c r="G345" s="12"/>
    </row>
    <row r="346">
      <c r="A346" s="4"/>
      <c r="B346" s="12"/>
      <c r="C346" s="12"/>
      <c r="D346" s="12"/>
      <c r="E346" s="12"/>
      <c r="F346" s="13"/>
      <c r="G346" s="12"/>
    </row>
    <row r="347">
      <c r="A347" s="4"/>
      <c r="B347" s="12"/>
      <c r="C347" s="12"/>
      <c r="D347" s="12"/>
      <c r="E347" s="12"/>
      <c r="F347" s="13"/>
      <c r="G347" s="12"/>
    </row>
    <row r="348">
      <c r="A348" s="4"/>
      <c r="B348" s="12"/>
      <c r="C348" s="12"/>
      <c r="D348" s="12"/>
      <c r="E348" s="12"/>
      <c r="F348" s="13"/>
      <c r="G348" s="12"/>
    </row>
    <row r="349">
      <c r="A349" s="4"/>
      <c r="B349" s="12"/>
      <c r="C349" s="12"/>
      <c r="D349" s="12"/>
      <c r="E349" s="12"/>
      <c r="F349" s="13"/>
      <c r="G349" s="12"/>
    </row>
    <row r="350">
      <c r="A350" s="4"/>
      <c r="B350" s="12"/>
      <c r="C350" s="12"/>
      <c r="D350" s="12"/>
      <c r="E350" s="12"/>
      <c r="F350" s="13"/>
      <c r="G350" s="12"/>
    </row>
    <row r="351">
      <c r="A351" s="4"/>
      <c r="B351" s="12"/>
      <c r="C351" s="12"/>
      <c r="D351" s="12"/>
      <c r="E351" s="12"/>
      <c r="F351" s="13"/>
      <c r="G351" s="12"/>
    </row>
    <row r="352">
      <c r="A352" s="4"/>
      <c r="B352" s="12"/>
      <c r="C352" s="12"/>
      <c r="D352" s="12"/>
      <c r="E352" s="12"/>
      <c r="F352" s="13"/>
      <c r="G352" s="12"/>
    </row>
    <row r="353">
      <c r="A353" s="4"/>
      <c r="B353" s="12"/>
      <c r="C353" s="12"/>
      <c r="D353" s="12"/>
      <c r="E353" s="12"/>
      <c r="F353" s="13"/>
      <c r="G353" s="12"/>
    </row>
    <row r="354">
      <c r="A354" s="4"/>
      <c r="B354" s="12"/>
      <c r="C354" s="12"/>
      <c r="D354" s="12"/>
      <c r="E354" s="12"/>
      <c r="F354" s="13"/>
      <c r="G354" s="12"/>
    </row>
    <row r="355">
      <c r="A355" s="4"/>
      <c r="B355" s="12"/>
      <c r="C355" s="12"/>
      <c r="D355" s="12"/>
      <c r="E355" s="12"/>
      <c r="F355" s="13"/>
      <c r="G355" s="12"/>
    </row>
    <row r="356">
      <c r="A356" s="4"/>
      <c r="B356" s="12"/>
      <c r="C356" s="12"/>
      <c r="D356" s="12"/>
      <c r="E356" s="12"/>
      <c r="F356" s="13"/>
      <c r="G356" s="12"/>
    </row>
    <row r="357">
      <c r="A357" s="4"/>
      <c r="B357" s="12"/>
      <c r="C357" s="12"/>
      <c r="D357" s="12"/>
      <c r="E357" s="12"/>
      <c r="F357" s="13"/>
      <c r="G357" s="12"/>
    </row>
    <row r="358">
      <c r="A358" s="4"/>
      <c r="B358" s="12"/>
      <c r="C358" s="12"/>
      <c r="D358" s="12"/>
      <c r="E358" s="12"/>
      <c r="F358" s="13"/>
      <c r="G358" s="12"/>
    </row>
    <row r="359">
      <c r="A359" s="4"/>
      <c r="B359" s="12"/>
      <c r="C359" s="12"/>
      <c r="D359" s="12"/>
      <c r="E359" s="12"/>
      <c r="F359" s="13"/>
      <c r="G359" s="12"/>
    </row>
    <row r="360">
      <c r="A360" s="4"/>
      <c r="B360" s="12"/>
      <c r="C360" s="12"/>
      <c r="D360" s="12"/>
      <c r="E360" s="12"/>
      <c r="F360" s="13"/>
      <c r="G360" s="12"/>
    </row>
    <row r="361">
      <c r="A361" s="4"/>
      <c r="B361" s="12"/>
      <c r="C361" s="12"/>
      <c r="D361" s="12"/>
      <c r="E361" s="12"/>
      <c r="F361" s="13"/>
      <c r="G361" s="12"/>
    </row>
    <row r="362">
      <c r="A362" s="4"/>
      <c r="B362" s="12"/>
      <c r="C362" s="12"/>
      <c r="D362" s="12"/>
      <c r="E362" s="12"/>
      <c r="F362" s="13"/>
      <c r="G362" s="12"/>
    </row>
    <row r="363">
      <c r="A363" s="4"/>
      <c r="B363" s="12"/>
      <c r="C363" s="12"/>
      <c r="D363" s="12"/>
      <c r="E363" s="12"/>
      <c r="F363" s="13"/>
      <c r="G363" s="12"/>
    </row>
    <row r="364">
      <c r="A364" s="4"/>
      <c r="B364" s="12"/>
      <c r="C364" s="12"/>
      <c r="D364" s="12"/>
      <c r="E364" s="12"/>
      <c r="F364" s="13"/>
      <c r="G364" s="12"/>
    </row>
    <row r="365">
      <c r="A365" s="4"/>
      <c r="B365" s="12"/>
      <c r="C365" s="12"/>
      <c r="D365" s="12"/>
      <c r="E365" s="12"/>
      <c r="F365" s="13"/>
      <c r="G365" s="12"/>
    </row>
    <row r="366">
      <c r="A366" s="4"/>
      <c r="B366" s="12"/>
      <c r="C366" s="12"/>
      <c r="D366" s="12"/>
      <c r="E366" s="12"/>
      <c r="F366" s="13"/>
      <c r="G366" s="12"/>
    </row>
    <row r="367">
      <c r="A367" s="4"/>
      <c r="B367" s="12"/>
      <c r="C367" s="12"/>
      <c r="D367" s="12"/>
      <c r="E367" s="12"/>
      <c r="F367" s="13"/>
      <c r="G367" s="12"/>
    </row>
    <row r="368">
      <c r="A368" s="4"/>
      <c r="B368" s="12"/>
      <c r="C368" s="12"/>
      <c r="D368" s="12"/>
      <c r="E368" s="12"/>
      <c r="F368" s="13"/>
      <c r="G368" s="12"/>
    </row>
    <row r="369">
      <c r="A369" s="4"/>
      <c r="B369" s="12"/>
      <c r="C369" s="12"/>
      <c r="D369" s="12"/>
      <c r="E369" s="12"/>
      <c r="F369" s="13"/>
      <c r="G369" s="12"/>
    </row>
    <row r="370">
      <c r="A370" s="4"/>
      <c r="B370" s="12"/>
      <c r="C370" s="12"/>
      <c r="D370" s="12"/>
      <c r="E370" s="12"/>
      <c r="F370" s="13"/>
      <c r="G370" s="12"/>
    </row>
    <row r="371">
      <c r="A371" s="4"/>
      <c r="B371" s="12"/>
      <c r="C371" s="12"/>
      <c r="D371" s="12"/>
      <c r="E371" s="12"/>
      <c r="F371" s="13"/>
      <c r="G371" s="12"/>
    </row>
    <row r="372">
      <c r="A372" s="4"/>
      <c r="B372" s="12"/>
      <c r="C372" s="12"/>
      <c r="D372" s="12"/>
      <c r="E372" s="12"/>
      <c r="F372" s="13"/>
      <c r="G372" s="12"/>
    </row>
    <row r="373">
      <c r="A373" s="4"/>
      <c r="B373" s="12"/>
      <c r="C373" s="12"/>
      <c r="D373" s="12"/>
      <c r="E373" s="12"/>
      <c r="F373" s="13"/>
      <c r="G373" s="12"/>
    </row>
    <row r="374">
      <c r="A374" s="4"/>
      <c r="B374" s="12"/>
      <c r="C374" s="12"/>
      <c r="D374" s="12"/>
      <c r="E374" s="12"/>
      <c r="F374" s="13"/>
      <c r="G374" s="12"/>
    </row>
    <row r="375">
      <c r="A375" s="4"/>
      <c r="B375" s="12"/>
      <c r="C375" s="12"/>
      <c r="D375" s="12"/>
      <c r="E375" s="12"/>
      <c r="F375" s="13"/>
      <c r="G375" s="12"/>
    </row>
    <row r="376">
      <c r="A376" s="4"/>
      <c r="B376" s="12"/>
      <c r="C376" s="12"/>
      <c r="D376" s="12"/>
      <c r="E376" s="12"/>
      <c r="F376" s="13"/>
      <c r="G376" s="12"/>
    </row>
    <row r="377">
      <c r="A377" s="4"/>
      <c r="B377" s="12"/>
      <c r="C377" s="12"/>
      <c r="D377" s="12"/>
      <c r="E377" s="12"/>
      <c r="F377" s="13"/>
      <c r="G377" s="12"/>
    </row>
    <row r="378">
      <c r="A378" s="4"/>
      <c r="B378" s="12"/>
      <c r="C378" s="12"/>
      <c r="D378" s="12"/>
      <c r="E378" s="12"/>
      <c r="F378" s="13"/>
      <c r="G378" s="12"/>
    </row>
    <row r="379">
      <c r="A379" s="4"/>
      <c r="B379" s="12"/>
      <c r="C379" s="12"/>
      <c r="D379" s="12"/>
      <c r="E379" s="12"/>
      <c r="F379" s="13"/>
      <c r="G379" s="12"/>
    </row>
    <row r="380">
      <c r="A380" s="4"/>
      <c r="B380" s="12"/>
      <c r="C380" s="12"/>
      <c r="D380" s="12"/>
      <c r="E380" s="12"/>
      <c r="F380" s="13"/>
      <c r="G380" s="12"/>
    </row>
    <row r="381">
      <c r="A381" s="4"/>
      <c r="B381" s="12"/>
      <c r="C381" s="12"/>
      <c r="D381" s="12"/>
      <c r="E381" s="12"/>
      <c r="F381" s="13"/>
      <c r="G381" s="12"/>
    </row>
    <row r="382">
      <c r="A382" s="4"/>
      <c r="B382" s="12"/>
      <c r="C382" s="12"/>
      <c r="D382" s="12"/>
      <c r="E382" s="12"/>
      <c r="F382" s="13"/>
      <c r="G382" s="12"/>
    </row>
    <row r="383">
      <c r="A383" s="4"/>
      <c r="B383" s="12"/>
      <c r="C383" s="12"/>
      <c r="D383" s="12"/>
      <c r="E383" s="12"/>
      <c r="F383" s="13"/>
      <c r="G383" s="12"/>
    </row>
    <row r="384">
      <c r="A384" s="4"/>
      <c r="B384" s="12"/>
      <c r="C384" s="12"/>
      <c r="D384" s="12"/>
      <c r="E384" s="12"/>
      <c r="F384" s="13"/>
      <c r="G384" s="12"/>
    </row>
    <row r="385">
      <c r="A385" s="4"/>
      <c r="B385" s="12"/>
      <c r="C385" s="12"/>
      <c r="D385" s="12"/>
      <c r="E385" s="12"/>
      <c r="F385" s="13"/>
      <c r="G385" s="12"/>
    </row>
    <row r="386">
      <c r="A386" s="4"/>
      <c r="B386" s="12"/>
      <c r="C386" s="12"/>
      <c r="D386" s="12"/>
      <c r="E386" s="12"/>
      <c r="F386" s="13"/>
      <c r="G386" s="12"/>
    </row>
    <row r="387">
      <c r="A387" s="4"/>
      <c r="B387" s="12"/>
      <c r="C387" s="12"/>
      <c r="D387" s="12"/>
      <c r="E387" s="12"/>
      <c r="F387" s="13"/>
      <c r="G387" s="12"/>
    </row>
    <row r="388">
      <c r="A388" s="4"/>
      <c r="B388" s="12"/>
      <c r="C388" s="12"/>
      <c r="D388" s="12"/>
      <c r="E388" s="12"/>
      <c r="F388" s="13"/>
      <c r="G388" s="12"/>
    </row>
    <row r="389">
      <c r="A389" s="4"/>
      <c r="B389" s="12"/>
      <c r="C389" s="12"/>
      <c r="D389" s="12"/>
      <c r="E389" s="12"/>
      <c r="F389" s="13"/>
      <c r="G389" s="12"/>
    </row>
    <row r="390">
      <c r="A390" s="4"/>
      <c r="B390" s="12"/>
      <c r="C390" s="12"/>
      <c r="D390" s="12"/>
      <c r="E390" s="12"/>
      <c r="F390" s="13"/>
      <c r="G390" s="12"/>
    </row>
    <row r="391">
      <c r="A391" s="4"/>
      <c r="B391" s="12"/>
      <c r="C391" s="12"/>
      <c r="D391" s="12"/>
      <c r="E391" s="12"/>
      <c r="F391" s="13"/>
      <c r="G391" s="12"/>
    </row>
    <row r="392">
      <c r="A392" s="4"/>
      <c r="B392" s="12"/>
      <c r="C392" s="12"/>
      <c r="D392" s="12"/>
      <c r="E392" s="12"/>
      <c r="F392" s="13"/>
      <c r="G392" s="12"/>
    </row>
    <row r="393">
      <c r="A393" s="4"/>
      <c r="B393" s="12"/>
      <c r="C393" s="12"/>
      <c r="D393" s="12"/>
      <c r="E393" s="12"/>
      <c r="F393" s="13"/>
      <c r="G393" s="12"/>
    </row>
    <row r="394">
      <c r="A394" s="4"/>
      <c r="B394" s="12"/>
      <c r="C394" s="12"/>
      <c r="D394" s="12"/>
      <c r="E394" s="12"/>
      <c r="F394" s="13"/>
      <c r="G394" s="12"/>
    </row>
    <row r="395">
      <c r="A395" s="4"/>
      <c r="B395" s="12"/>
      <c r="C395" s="12"/>
      <c r="D395" s="12"/>
      <c r="E395" s="12"/>
      <c r="F395" s="13"/>
      <c r="G395" s="12"/>
    </row>
    <row r="396">
      <c r="A396" s="4"/>
      <c r="B396" s="12"/>
      <c r="C396" s="12"/>
      <c r="D396" s="12"/>
      <c r="E396" s="12"/>
      <c r="F396" s="13"/>
      <c r="G396" s="12"/>
    </row>
    <row r="397">
      <c r="A397" s="4"/>
      <c r="B397" s="12"/>
      <c r="C397" s="12"/>
      <c r="D397" s="12"/>
      <c r="E397" s="12"/>
      <c r="F397" s="13"/>
      <c r="G397" s="12"/>
    </row>
    <row r="398">
      <c r="A398" s="4"/>
      <c r="B398" s="12"/>
      <c r="C398" s="12"/>
      <c r="D398" s="12"/>
      <c r="E398" s="12"/>
      <c r="F398" s="13"/>
      <c r="G398" s="12"/>
    </row>
    <row r="399">
      <c r="A399" s="4"/>
      <c r="B399" s="12"/>
      <c r="C399" s="12"/>
      <c r="D399" s="12"/>
      <c r="E399" s="12"/>
      <c r="F399" s="13"/>
      <c r="G399" s="12"/>
    </row>
    <row r="400">
      <c r="A400" s="4"/>
      <c r="B400" s="12"/>
      <c r="C400" s="12"/>
      <c r="D400" s="12"/>
      <c r="E400" s="12"/>
      <c r="F400" s="13"/>
      <c r="G400" s="12"/>
    </row>
    <row r="401">
      <c r="A401" s="4"/>
      <c r="B401" s="12"/>
      <c r="C401" s="12"/>
      <c r="D401" s="12"/>
      <c r="E401" s="12"/>
      <c r="F401" s="13"/>
      <c r="G401" s="12"/>
    </row>
    <row r="402">
      <c r="A402" s="4"/>
      <c r="B402" s="12"/>
      <c r="C402" s="12"/>
      <c r="D402" s="12"/>
      <c r="E402" s="12"/>
      <c r="F402" s="13"/>
      <c r="G402" s="12"/>
    </row>
    <row r="403">
      <c r="A403" s="4"/>
      <c r="B403" s="12"/>
      <c r="C403" s="12"/>
      <c r="D403" s="12"/>
      <c r="E403" s="12"/>
      <c r="F403" s="13"/>
      <c r="G403" s="12"/>
    </row>
    <row r="404">
      <c r="A404" s="4"/>
      <c r="B404" s="12"/>
      <c r="C404" s="12"/>
      <c r="D404" s="12"/>
      <c r="E404" s="12"/>
      <c r="F404" s="13"/>
      <c r="G404" s="12"/>
    </row>
    <row r="405">
      <c r="A405" s="4"/>
      <c r="B405" s="12"/>
      <c r="C405" s="12"/>
      <c r="D405" s="12"/>
      <c r="E405" s="12"/>
      <c r="F405" s="13"/>
      <c r="G405" s="12"/>
    </row>
    <row r="406">
      <c r="A406" s="4"/>
      <c r="B406" s="12"/>
      <c r="C406" s="12"/>
      <c r="D406" s="12"/>
      <c r="E406" s="12"/>
      <c r="F406" s="13"/>
      <c r="G406" s="12"/>
    </row>
    <row r="407">
      <c r="A407" s="4"/>
      <c r="B407" s="12"/>
      <c r="C407" s="12"/>
      <c r="D407" s="12"/>
      <c r="E407" s="12"/>
      <c r="F407" s="13"/>
      <c r="G407" s="12"/>
    </row>
    <row r="408">
      <c r="A408" s="4"/>
      <c r="B408" s="12"/>
      <c r="C408" s="12"/>
      <c r="D408" s="12"/>
      <c r="E408" s="12"/>
      <c r="F408" s="13"/>
      <c r="G408" s="12"/>
    </row>
    <row r="409">
      <c r="A409" s="4"/>
      <c r="B409" s="12"/>
      <c r="C409" s="12"/>
      <c r="D409" s="12"/>
      <c r="E409" s="12"/>
      <c r="F409" s="13"/>
      <c r="G409" s="12"/>
    </row>
    <row r="410">
      <c r="A410" s="4"/>
      <c r="B410" s="12"/>
      <c r="C410" s="12"/>
      <c r="D410" s="12"/>
      <c r="E410" s="12"/>
      <c r="F410" s="13"/>
      <c r="G410" s="12"/>
    </row>
    <row r="411">
      <c r="A411" s="4"/>
      <c r="B411" s="12"/>
      <c r="C411" s="12"/>
      <c r="D411" s="12"/>
      <c r="E411" s="12"/>
      <c r="F411" s="13"/>
      <c r="G411" s="12"/>
    </row>
    <row r="412">
      <c r="A412" s="4"/>
      <c r="B412" s="12"/>
      <c r="C412" s="12"/>
      <c r="D412" s="12"/>
      <c r="E412" s="12"/>
      <c r="F412" s="13"/>
      <c r="G412" s="12"/>
    </row>
    <row r="413">
      <c r="A413" s="4"/>
      <c r="B413" s="12"/>
      <c r="C413" s="12"/>
      <c r="D413" s="12"/>
      <c r="E413" s="12"/>
      <c r="F413" s="13"/>
      <c r="G413" s="12"/>
    </row>
    <row r="414">
      <c r="A414" s="4"/>
      <c r="B414" s="12"/>
      <c r="C414" s="12"/>
      <c r="D414" s="12"/>
      <c r="E414" s="12"/>
      <c r="F414" s="13"/>
      <c r="G414" s="12"/>
    </row>
    <row r="415">
      <c r="A415" s="4"/>
      <c r="B415" s="12"/>
      <c r="C415" s="12"/>
      <c r="D415" s="12"/>
      <c r="E415" s="12"/>
      <c r="F415" s="13"/>
      <c r="G415" s="12"/>
    </row>
    <row r="416">
      <c r="A416" s="4"/>
      <c r="B416" s="12"/>
      <c r="C416" s="12"/>
      <c r="D416" s="12"/>
      <c r="E416" s="12"/>
      <c r="F416" s="13"/>
      <c r="G416" s="12"/>
    </row>
    <row r="417">
      <c r="A417" s="4"/>
      <c r="B417" s="12"/>
      <c r="C417" s="12"/>
      <c r="D417" s="12"/>
      <c r="E417" s="12"/>
      <c r="F417" s="13"/>
      <c r="G417" s="12"/>
    </row>
    <row r="418">
      <c r="A418" s="4"/>
      <c r="B418" s="12"/>
      <c r="C418" s="12"/>
      <c r="D418" s="12"/>
      <c r="E418" s="12"/>
      <c r="F418" s="13"/>
      <c r="G418" s="12"/>
    </row>
    <row r="419">
      <c r="A419" s="4"/>
      <c r="B419" s="12"/>
      <c r="C419" s="12"/>
      <c r="D419" s="12"/>
      <c r="E419" s="12"/>
      <c r="F419" s="13"/>
      <c r="G419" s="12"/>
    </row>
    <row r="420">
      <c r="A420" s="4"/>
      <c r="B420" s="12"/>
      <c r="C420" s="12"/>
      <c r="D420" s="12"/>
      <c r="E420" s="12"/>
      <c r="F420" s="13"/>
      <c r="G420" s="12"/>
    </row>
    <row r="421">
      <c r="A421" s="4"/>
      <c r="B421" s="12"/>
      <c r="C421" s="12"/>
      <c r="D421" s="12"/>
      <c r="E421" s="12"/>
      <c r="F421" s="13"/>
      <c r="G421" s="12"/>
    </row>
    <row r="422">
      <c r="A422" s="4"/>
      <c r="B422" s="12"/>
      <c r="C422" s="12"/>
      <c r="D422" s="12"/>
      <c r="E422" s="12"/>
      <c r="F422" s="13"/>
      <c r="G422" s="12"/>
    </row>
    <row r="423">
      <c r="A423" s="4"/>
      <c r="B423" s="12"/>
      <c r="C423" s="12"/>
      <c r="D423" s="12"/>
      <c r="E423" s="12"/>
      <c r="F423" s="13"/>
      <c r="G423" s="12"/>
    </row>
    <row r="424">
      <c r="A424" s="4"/>
      <c r="B424" s="12"/>
      <c r="C424" s="12"/>
      <c r="D424" s="12"/>
      <c r="E424" s="12"/>
      <c r="F424" s="13"/>
      <c r="G424" s="12"/>
    </row>
    <row r="425">
      <c r="A425" s="4"/>
      <c r="B425" s="12"/>
      <c r="C425" s="12"/>
      <c r="D425" s="12"/>
      <c r="E425" s="12"/>
      <c r="F425" s="13"/>
      <c r="G425" s="12"/>
    </row>
    <row r="426">
      <c r="A426" s="4"/>
      <c r="B426" s="12"/>
      <c r="C426" s="12"/>
      <c r="D426" s="12"/>
      <c r="E426" s="12"/>
      <c r="F426" s="13"/>
      <c r="G426" s="12"/>
    </row>
    <row r="427">
      <c r="A427" s="4"/>
      <c r="B427" s="12"/>
      <c r="C427" s="12"/>
      <c r="D427" s="12"/>
      <c r="E427" s="12"/>
      <c r="F427" s="13"/>
      <c r="G427" s="12"/>
    </row>
    <row r="428">
      <c r="A428" s="4"/>
      <c r="B428" s="12"/>
      <c r="C428" s="12"/>
      <c r="D428" s="12"/>
      <c r="E428" s="12"/>
      <c r="F428" s="13"/>
      <c r="G428" s="12"/>
    </row>
    <row r="429">
      <c r="A429" s="4"/>
      <c r="B429" s="12"/>
      <c r="C429" s="12"/>
      <c r="D429" s="12"/>
      <c r="E429" s="12"/>
      <c r="F429" s="13"/>
      <c r="G429" s="12"/>
    </row>
    <row r="430">
      <c r="A430" s="4"/>
      <c r="B430" s="12"/>
      <c r="C430" s="12"/>
      <c r="D430" s="12"/>
      <c r="E430" s="12"/>
      <c r="F430" s="13"/>
      <c r="G430" s="12"/>
    </row>
    <row r="431">
      <c r="A431" s="4"/>
      <c r="B431" s="12"/>
      <c r="C431" s="12"/>
      <c r="D431" s="12"/>
      <c r="E431" s="12"/>
      <c r="F431" s="13"/>
      <c r="G431" s="12"/>
    </row>
    <row r="432">
      <c r="A432" s="4"/>
      <c r="B432" s="12"/>
      <c r="C432" s="12"/>
      <c r="D432" s="12"/>
      <c r="E432" s="12"/>
      <c r="F432" s="13"/>
      <c r="G432" s="12"/>
    </row>
    <row r="433">
      <c r="A433" s="4"/>
      <c r="B433" s="12"/>
      <c r="C433" s="12"/>
      <c r="D433" s="12"/>
      <c r="E433" s="12"/>
      <c r="F433" s="13"/>
      <c r="G433" s="12"/>
    </row>
    <row r="434">
      <c r="A434" s="4"/>
      <c r="B434" s="12"/>
      <c r="C434" s="12"/>
      <c r="D434" s="12"/>
      <c r="E434" s="12"/>
      <c r="F434" s="13"/>
      <c r="G434" s="12"/>
    </row>
    <row r="435">
      <c r="A435" s="4"/>
      <c r="B435" s="12"/>
      <c r="C435" s="12"/>
      <c r="D435" s="12"/>
      <c r="E435" s="12"/>
      <c r="F435" s="13"/>
      <c r="G435" s="12"/>
    </row>
    <row r="436">
      <c r="A436" s="4"/>
      <c r="B436" s="12"/>
      <c r="C436" s="12"/>
      <c r="D436" s="12"/>
      <c r="E436" s="12"/>
      <c r="F436" s="13"/>
      <c r="G436" s="12"/>
    </row>
    <row r="437">
      <c r="A437" s="4"/>
      <c r="B437" s="12"/>
      <c r="C437" s="12"/>
      <c r="D437" s="12"/>
      <c r="E437" s="12"/>
      <c r="F437" s="13"/>
      <c r="G437" s="12"/>
    </row>
    <row r="438">
      <c r="A438" s="4"/>
      <c r="B438" s="12"/>
      <c r="C438" s="12"/>
      <c r="D438" s="12"/>
      <c r="E438" s="12"/>
      <c r="F438" s="13"/>
      <c r="G438" s="12"/>
    </row>
    <row r="439">
      <c r="A439" s="4"/>
      <c r="B439" s="12"/>
      <c r="C439" s="12"/>
      <c r="D439" s="12"/>
      <c r="E439" s="12"/>
      <c r="F439" s="13"/>
      <c r="G439" s="12"/>
    </row>
    <row r="440">
      <c r="A440" s="4"/>
      <c r="B440" s="12"/>
      <c r="C440" s="12"/>
      <c r="D440" s="12"/>
      <c r="E440" s="12"/>
      <c r="F440" s="13"/>
      <c r="G440" s="12"/>
    </row>
    <row r="441">
      <c r="A441" s="4"/>
      <c r="B441" s="12"/>
      <c r="C441" s="12"/>
      <c r="D441" s="12"/>
      <c r="E441" s="12"/>
      <c r="F441" s="13"/>
      <c r="G441" s="12"/>
    </row>
    <row r="442">
      <c r="A442" s="4"/>
      <c r="B442" s="12"/>
      <c r="C442" s="12"/>
      <c r="D442" s="12"/>
      <c r="E442" s="12"/>
      <c r="F442" s="13"/>
      <c r="G442" s="12"/>
    </row>
    <row r="443">
      <c r="A443" s="4"/>
      <c r="B443" s="12"/>
      <c r="C443" s="12"/>
      <c r="D443" s="12"/>
      <c r="E443" s="12"/>
      <c r="F443" s="13"/>
      <c r="G443" s="12"/>
    </row>
    <row r="444">
      <c r="A444" s="4"/>
      <c r="B444" s="12"/>
      <c r="C444" s="12"/>
      <c r="D444" s="12"/>
      <c r="E444" s="12"/>
      <c r="F444" s="13"/>
      <c r="G444" s="12"/>
    </row>
    <row r="445">
      <c r="A445" s="4"/>
      <c r="B445" s="12"/>
      <c r="C445" s="12"/>
      <c r="D445" s="12"/>
      <c r="E445" s="12"/>
      <c r="F445" s="13"/>
      <c r="G445" s="12"/>
    </row>
    <row r="446">
      <c r="A446" s="4"/>
      <c r="B446" s="12"/>
      <c r="C446" s="12"/>
      <c r="D446" s="12"/>
      <c r="E446" s="12"/>
      <c r="F446" s="13"/>
      <c r="G446" s="12"/>
    </row>
    <row r="447">
      <c r="A447" s="4"/>
      <c r="B447" s="12"/>
      <c r="C447" s="12"/>
      <c r="D447" s="12"/>
      <c r="E447" s="12"/>
      <c r="F447" s="13"/>
      <c r="G447" s="12"/>
    </row>
    <row r="448">
      <c r="A448" s="4"/>
      <c r="B448" s="12"/>
      <c r="C448" s="12"/>
      <c r="D448" s="12"/>
      <c r="E448" s="12"/>
      <c r="F448" s="13"/>
      <c r="G448" s="12"/>
    </row>
    <row r="449">
      <c r="A449" s="4"/>
      <c r="B449" s="12"/>
      <c r="C449" s="12"/>
      <c r="D449" s="12"/>
      <c r="E449" s="12"/>
      <c r="F449" s="13"/>
      <c r="G449" s="12"/>
    </row>
    <row r="450">
      <c r="A450" s="4"/>
      <c r="B450" s="12"/>
      <c r="C450" s="12"/>
      <c r="D450" s="12"/>
      <c r="E450" s="12"/>
      <c r="F450" s="13"/>
      <c r="G450" s="12"/>
    </row>
    <row r="451">
      <c r="A451" s="4"/>
      <c r="B451" s="12"/>
      <c r="C451" s="12"/>
      <c r="D451" s="12"/>
      <c r="E451" s="12"/>
      <c r="F451" s="13"/>
      <c r="G451" s="12"/>
    </row>
    <row r="452">
      <c r="A452" s="4"/>
      <c r="B452" s="12"/>
      <c r="C452" s="12"/>
      <c r="D452" s="12"/>
      <c r="E452" s="12"/>
      <c r="F452" s="13"/>
      <c r="G452" s="12"/>
    </row>
    <row r="453">
      <c r="A453" s="4"/>
      <c r="B453" s="12"/>
      <c r="C453" s="12"/>
      <c r="D453" s="12"/>
      <c r="E453" s="12"/>
      <c r="F453" s="13"/>
      <c r="G453" s="12"/>
    </row>
    <row r="454">
      <c r="A454" s="4"/>
      <c r="B454" s="12"/>
      <c r="C454" s="12"/>
      <c r="D454" s="12"/>
      <c r="E454" s="12"/>
      <c r="F454" s="13"/>
      <c r="G454" s="12"/>
    </row>
    <row r="455">
      <c r="A455" s="4"/>
      <c r="B455" s="12"/>
      <c r="C455" s="12"/>
      <c r="D455" s="12"/>
      <c r="E455" s="12"/>
      <c r="F455" s="13"/>
      <c r="G455" s="12"/>
    </row>
    <row r="456">
      <c r="A456" s="4"/>
      <c r="B456" s="12"/>
      <c r="C456" s="12"/>
      <c r="D456" s="12"/>
      <c r="E456" s="12"/>
      <c r="F456" s="13"/>
      <c r="G456" s="12"/>
    </row>
    <row r="457">
      <c r="A457" s="4"/>
      <c r="B457" s="12"/>
      <c r="C457" s="12"/>
      <c r="D457" s="12"/>
      <c r="E457" s="12"/>
      <c r="F457" s="13"/>
      <c r="G457" s="12"/>
    </row>
    <row r="458">
      <c r="A458" s="4"/>
      <c r="B458" s="12"/>
      <c r="C458" s="12"/>
      <c r="D458" s="12"/>
      <c r="E458" s="12"/>
      <c r="F458" s="13"/>
      <c r="G458" s="12"/>
    </row>
    <row r="459">
      <c r="A459" s="4"/>
      <c r="B459" s="12"/>
      <c r="C459" s="12"/>
      <c r="D459" s="12"/>
      <c r="E459" s="12"/>
      <c r="F459" s="13"/>
      <c r="G459" s="12"/>
    </row>
    <row r="460">
      <c r="A460" s="4"/>
      <c r="B460" s="12"/>
      <c r="C460" s="12"/>
      <c r="D460" s="12"/>
      <c r="E460" s="12"/>
      <c r="F460" s="13"/>
      <c r="G460" s="12"/>
    </row>
    <row r="461">
      <c r="A461" s="4"/>
      <c r="B461" s="12"/>
      <c r="C461" s="12"/>
      <c r="D461" s="12"/>
      <c r="E461" s="12"/>
      <c r="F461" s="13"/>
      <c r="G461" s="12"/>
    </row>
    <row r="462">
      <c r="A462" s="4"/>
      <c r="B462" s="12"/>
      <c r="C462" s="12"/>
      <c r="D462" s="12"/>
      <c r="E462" s="12"/>
      <c r="F462" s="13"/>
      <c r="G462" s="12"/>
    </row>
    <row r="463">
      <c r="A463" s="4"/>
      <c r="B463" s="12"/>
      <c r="C463" s="12"/>
      <c r="D463" s="12"/>
      <c r="E463" s="12"/>
      <c r="F463" s="13"/>
      <c r="G463" s="12"/>
    </row>
    <row r="464">
      <c r="A464" s="4"/>
      <c r="B464" s="12"/>
      <c r="C464" s="12"/>
      <c r="D464" s="12"/>
      <c r="E464" s="12"/>
      <c r="F464" s="13"/>
      <c r="G464" s="12"/>
    </row>
    <row r="465">
      <c r="A465" s="4"/>
      <c r="B465" s="12"/>
      <c r="C465" s="12"/>
      <c r="D465" s="12"/>
      <c r="E465" s="12"/>
      <c r="F465" s="13"/>
      <c r="G465" s="12"/>
    </row>
    <row r="466">
      <c r="A466" s="4"/>
      <c r="B466" s="12"/>
      <c r="C466" s="12"/>
      <c r="D466" s="12"/>
      <c r="E466" s="12"/>
      <c r="F466" s="13"/>
      <c r="G466" s="12"/>
    </row>
    <row r="467">
      <c r="A467" s="4"/>
      <c r="B467" s="12"/>
      <c r="C467" s="12"/>
      <c r="D467" s="12"/>
      <c r="E467" s="12"/>
      <c r="F467" s="13"/>
      <c r="G467" s="12"/>
    </row>
    <row r="468">
      <c r="A468" s="4"/>
      <c r="B468" s="12"/>
      <c r="C468" s="12"/>
      <c r="D468" s="12"/>
      <c r="E468" s="12"/>
      <c r="F468" s="13"/>
      <c r="G468" s="12"/>
    </row>
    <row r="469">
      <c r="A469" s="4"/>
      <c r="B469" s="12"/>
      <c r="C469" s="12"/>
      <c r="D469" s="12"/>
      <c r="E469" s="12"/>
      <c r="F469" s="13"/>
      <c r="G469" s="12"/>
    </row>
    <row r="470">
      <c r="A470" s="4"/>
      <c r="B470" s="12"/>
      <c r="C470" s="12"/>
      <c r="D470" s="12"/>
      <c r="E470" s="12"/>
      <c r="F470" s="13"/>
      <c r="G470" s="12"/>
    </row>
    <row r="471">
      <c r="A471" s="4"/>
      <c r="B471" s="12"/>
      <c r="C471" s="12"/>
      <c r="D471" s="12"/>
      <c r="E471" s="12"/>
      <c r="F471" s="13"/>
      <c r="G471" s="12"/>
    </row>
    <row r="472">
      <c r="A472" s="4"/>
      <c r="B472" s="12"/>
      <c r="C472" s="12"/>
      <c r="D472" s="12"/>
      <c r="E472" s="12"/>
      <c r="F472" s="13"/>
      <c r="G472" s="12"/>
    </row>
    <row r="473">
      <c r="A473" s="4"/>
      <c r="B473" s="12"/>
      <c r="C473" s="12"/>
      <c r="D473" s="12"/>
      <c r="E473" s="12"/>
      <c r="F473" s="13"/>
      <c r="G473" s="12"/>
    </row>
    <row r="474">
      <c r="A474" s="4"/>
      <c r="B474" s="12"/>
      <c r="C474" s="12"/>
      <c r="D474" s="12"/>
      <c r="E474" s="12"/>
      <c r="F474" s="13"/>
      <c r="G474" s="12"/>
    </row>
    <row r="475">
      <c r="A475" s="4"/>
      <c r="B475" s="12"/>
      <c r="C475" s="12"/>
      <c r="D475" s="12"/>
      <c r="E475" s="12"/>
      <c r="F475" s="13"/>
      <c r="G475" s="12"/>
    </row>
    <row r="476">
      <c r="A476" s="4"/>
      <c r="B476" s="12"/>
      <c r="C476" s="12"/>
      <c r="D476" s="12"/>
      <c r="E476" s="12"/>
      <c r="F476" s="13"/>
      <c r="G476" s="12"/>
    </row>
    <row r="477">
      <c r="A477" s="4"/>
      <c r="B477" s="12"/>
      <c r="C477" s="12"/>
      <c r="D477" s="12"/>
      <c r="E477" s="12"/>
      <c r="F477" s="13"/>
      <c r="G477" s="12"/>
    </row>
    <row r="478">
      <c r="A478" s="4"/>
      <c r="B478" s="12"/>
      <c r="C478" s="12"/>
      <c r="D478" s="12"/>
      <c r="E478" s="12"/>
      <c r="F478" s="13"/>
      <c r="G478" s="12"/>
    </row>
    <row r="479">
      <c r="A479" s="4"/>
      <c r="B479" s="12"/>
      <c r="C479" s="12"/>
      <c r="D479" s="12"/>
      <c r="E479" s="12"/>
      <c r="F479" s="13"/>
      <c r="G479" s="12"/>
    </row>
    <row r="480">
      <c r="A480" s="4"/>
      <c r="B480" s="12"/>
      <c r="C480" s="12"/>
      <c r="D480" s="12"/>
      <c r="E480" s="12"/>
      <c r="F480" s="13"/>
      <c r="G480" s="12"/>
    </row>
    <row r="481">
      <c r="A481" s="4"/>
      <c r="B481" s="12"/>
      <c r="C481" s="12"/>
      <c r="D481" s="12"/>
      <c r="E481" s="12"/>
      <c r="F481" s="13"/>
      <c r="G481" s="12"/>
    </row>
    <row r="482">
      <c r="A482" s="4"/>
      <c r="B482" s="12"/>
      <c r="C482" s="12"/>
      <c r="D482" s="12"/>
      <c r="E482" s="12"/>
      <c r="F482" s="13"/>
      <c r="G482" s="12"/>
    </row>
    <row r="483">
      <c r="A483" s="4"/>
      <c r="B483" s="12"/>
      <c r="C483" s="12"/>
      <c r="D483" s="12"/>
      <c r="E483" s="12"/>
      <c r="F483" s="13"/>
      <c r="G483" s="12"/>
    </row>
    <row r="484">
      <c r="A484" s="4"/>
      <c r="B484" s="12"/>
      <c r="C484" s="12"/>
      <c r="D484" s="12"/>
      <c r="E484" s="12"/>
      <c r="F484" s="13"/>
      <c r="G484" s="12"/>
    </row>
    <row r="485">
      <c r="A485" s="4"/>
      <c r="B485" s="12"/>
      <c r="C485" s="12"/>
      <c r="D485" s="12"/>
      <c r="E485" s="12"/>
      <c r="F485" s="13"/>
      <c r="G485" s="12"/>
    </row>
    <row r="486">
      <c r="A486" s="4"/>
      <c r="B486" s="12"/>
      <c r="C486" s="12"/>
      <c r="D486" s="12"/>
      <c r="E486" s="12"/>
      <c r="F486" s="13"/>
      <c r="G486" s="12"/>
    </row>
    <row r="487">
      <c r="A487" s="4"/>
      <c r="B487" s="12"/>
      <c r="C487" s="12"/>
      <c r="D487" s="12"/>
      <c r="E487" s="12"/>
      <c r="F487" s="13"/>
      <c r="G487" s="12"/>
    </row>
    <row r="488">
      <c r="A488" s="4"/>
      <c r="B488" s="12"/>
      <c r="C488" s="12"/>
      <c r="D488" s="12"/>
      <c r="E488" s="12"/>
      <c r="F488" s="13"/>
      <c r="G488" s="12"/>
    </row>
    <row r="489">
      <c r="A489" s="4"/>
      <c r="B489" s="12"/>
      <c r="C489" s="12"/>
      <c r="D489" s="12"/>
      <c r="E489" s="12"/>
      <c r="F489" s="13"/>
      <c r="G489" s="12"/>
    </row>
    <row r="490">
      <c r="A490" s="4"/>
      <c r="B490" s="12"/>
      <c r="C490" s="12"/>
      <c r="D490" s="12"/>
      <c r="E490" s="12"/>
      <c r="F490" s="13"/>
      <c r="G490" s="12"/>
    </row>
    <row r="491">
      <c r="A491" s="4"/>
      <c r="B491" s="12"/>
      <c r="C491" s="12"/>
      <c r="D491" s="12"/>
      <c r="E491" s="12"/>
      <c r="F491" s="13"/>
      <c r="G491" s="12"/>
    </row>
    <row r="492">
      <c r="A492" s="4"/>
      <c r="B492" s="12"/>
      <c r="C492" s="12"/>
      <c r="D492" s="12"/>
      <c r="E492" s="12"/>
      <c r="F492" s="13"/>
      <c r="G492" s="12"/>
    </row>
    <row r="493">
      <c r="A493" s="4"/>
      <c r="B493" s="12"/>
      <c r="C493" s="12"/>
      <c r="D493" s="12"/>
      <c r="E493" s="12"/>
      <c r="F493" s="13"/>
      <c r="G493" s="12"/>
    </row>
    <row r="494">
      <c r="A494" s="4"/>
      <c r="B494" s="12"/>
      <c r="C494" s="12"/>
      <c r="D494" s="12"/>
      <c r="E494" s="12"/>
      <c r="F494" s="13"/>
      <c r="G494" s="12"/>
    </row>
    <row r="495">
      <c r="A495" s="4"/>
      <c r="B495" s="12"/>
      <c r="C495" s="12"/>
      <c r="D495" s="12"/>
      <c r="E495" s="12"/>
      <c r="F495" s="13"/>
      <c r="G495" s="12"/>
    </row>
    <row r="496">
      <c r="A496" s="4"/>
      <c r="B496" s="12"/>
      <c r="C496" s="12"/>
      <c r="D496" s="12"/>
      <c r="E496" s="12"/>
      <c r="F496" s="13"/>
      <c r="G496" s="12"/>
    </row>
    <row r="497">
      <c r="A497" s="4"/>
      <c r="B497" s="12"/>
      <c r="C497" s="12"/>
      <c r="D497" s="12"/>
      <c r="E497" s="12"/>
      <c r="F497" s="13"/>
      <c r="G497" s="12"/>
    </row>
    <row r="498">
      <c r="A498" s="4"/>
      <c r="B498" s="12"/>
      <c r="C498" s="12"/>
      <c r="D498" s="12"/>
      <c r="E498" s="12"/>
      <c r="F498" s="13"/>
      <c r="G498" s="12"/>
    </row>
    <row r="499">
      <c r="A499" s="4"/>
      <c r="B499" s="12"/>
      <c r="C499" s="12"/>
      <c r="D499" s="12"/>
      <c r="E499" s="12"/>
      <c r="F499" s="13"/>
      <c r="G499" s="12"/>
    </row>
    <row r="500">
      <c r="A500" s="4"/>
      <c r="B500" s="12"/>
      <c r="C500" s="12"/>
      <c r="D500" s="12"/>
      <c r="E500" s="12"/>
      <c r="F500" s="13"/>
      <c r="G500" s="12"/>
    </row>
    <row r="501">
      <c r="A501" s="4"/>
      <c r="B501" s="12"/>
      <c r="C501" s="12"/>
      <c r="D501" s="12"/>
      <c r="E501" s="12"/>
      <c r="F501" s="13"/>
      <c r="G501" s="12"/>
    </row>
    <row r="502">
      <c r="A502" s="4"/>
      <c r="B502" s="12"/>
      <c r="C502" s="12"/>
      <c r="D502" s="12"/>
      <c r="E502" s="12"/>
      <c r="F502" s="13"/>
      <c r="G502" s="12"/>
    </row>
    <row r="503">
      <c r="A503" s="4"/>
      <c r="B503" s="12"/>
      <c r="C503" s="12"/>
      <c r="D503" s="12"/>
      <c r="E503" s="12"/>
      <c r="F503" s="13"/>
      <c r="G503" s="12"/>
    </row>
    <row r="504">
      <c r="A504" s="4"/>
      <c r="B504" s="12"/>
      <c r="C504" s="12"/>
      <c r="D504" s="12"/>
      <c r="E504" s="12"/>
      <c r="F504" s="13"/>
      <c r="G504" s="12"/>
    </row>
    <row r="505">
      <c r="A505" s="4"/>
      <c r="B505" s="12"/>
      <c r="C505" s="12"/>
      <c r="D505" s="12"/>
      <c r="E505" s="12"/>
      <c r="F505" s="13"/>
      <c r="G505" s="12"/>
    </row>
    <row r="506">
      <c r="A506" s="4"/>
      <c r="B506" s="12"/>
      <c r="C506" s="12"/>
      <c r="D506" s="12"/>
      <c r="E506" s="12"/>
      <c r="F506" s="13"/>
      <c r="G506" s="12"/>
    </row>
    <row r="507">
      <c r="A507" s="4"/>
      <c r="B507" s="12"/>
      <c r="C507" s="12"/>
      <c r="D507" s="12"/>
      <c r="E507" s="12"/>
      <c r="F507" s="13"/>
      <c r="G507" s="12"/>
    </row>
    <row r="508">
      <c r="A508" s="4"/>
      <c r="B508" s="12"/>
      <c r="C508" s="12"/>
      <c r="D508" s="12"/>
      <c r="E508" s="12"/>
      <c r="F508" s="13"/>
      <c r="G508" s="12"/>
    </row>
    <row r="509">
      <c r="A509" s="4"/>
      <c r="B509" s="12"/>
      <c r="C509" s="12"/>
      <c r="D509" s="12"/>
      <c r="E509" s="12"/>
      <c r="F509" s="13"/>
      <c r="G509" s="12"/>
    </row>
    <row r="510">
      <c r="A510" s="4"/>
      <c r="B510" s="12"/>
      <c r="C510" s="12"/>
      <c r="D510" s="12"/>
      <c r="E510" s="12"/>
      <c r="F510" s="13"/>
      <c r="G510" s="12"/>
    </row>
    <row r="511">
      <c r="A511" s="4"/>
      <c r="B511" s="12"/>
      <c r="C511" s="12"/>
      <c r="D511" s="12"/>
      <c r="E511" s="12"/>
      <c r="F511" s="13"/>
      <c r="G511" s="12"/>
    </row>
    <row r="512">
      <c r="A512" s="4"/>
      <c r="B512" s="12"/>
      <c r="C512" s="12"/>
      <c r="D512" s="12"/>
      <c r="E512" s="12"/>
      <c r="F512" s="13"/>
      <c r="G512" s="12"/>
    </row>
    <row r="513">
      <c r="A513" s="4"/>
      <c r="B513" s="12"/>
      <c r="C513" s="12"/>
      <c r="D513" s="12"/>
      <c r="E513" s="12"/>
      <c r="F513" s="13"/>
      <c r="G513" s="12"/>
    </row>
    <row r="514">
      <c r="A514" s="4"/>
      <c r="B514" s="12"/>
      <c r="C514" s="12"/>
      <c r="D514" s="12"/>
      <c r="E514" s="12"/>
      <c r="F514" s="13"/>
      <c r="G514" s="12"/>
    </row>
    <row r="515">
      <c r="A515" s="4"/>
      <c r="B515" s="12"/>
      <c r="C515" s="12"/>
      <c r="D515" s="12"/>
      <c r="E515" s="12"/>
      <c r="F515" s="13"/>
      <c r="G515" s="12"/>
    </row>
    <row r="516">
      <c r="A516" s="4"/>
      <c r="B516" s="12"/>
      <c r="C516" s="12"/>
      <c r="D516" s="12"/>
      <c r="E516" s="12"/>
      <c r="F516" s="13"/>
      <c r="G516" s="12"/>
    </row>
    <row r="517">
      <c r="A517" s="4"/>
      <c r="B517" s="12"/>
      <c r="C517" s="12"/>
      <c r="D517" s="12"/>
      <c r="E517" s="12"/>
      <c r="F517" s="13"/>
      <c r="G517" s="12"/>
    </row>
    <row r="518">
      <c r="A518" s="4"/>
      <c r="B518" s="12"/>
      <c r="C518" s="12"/>
      <c r="D518" s="12"/>
      <c r="E518" s="12"/>
      <c r="F518" s="13"/>
      <c r="G518" s="12"/>
    </row>
    <row r="519">
      <c r="A519" s="4"/>
      <c r="B519" s="12"/>
      <c r="C519" s="12"/>
      <c r="D519" s="12"/>
      <c r="E519" s="12"/>
      <c r="F519" s="13"/>
      <c r="G519" s="12"/>
    </row>
    <row r="520">
      <c r="A520" s="4"/>
      <c r="B520" s="12"/>
      <c r="C520" s="12"/>
      <c r="D520" s="12"/>
      <c r="E520" s="12"/>
      <c r="F520" s="13"/>
      <c r="G520" s="12"/>
    </row>
    <row r="521">
      <c r="A521" s="4"/>
      <c r="B521" s="12"/>
      <c r="C521" s="12"/>
      <c r="D521" s="12"/>
      <c r="E521" s="12"/>
      <c r="F521" s="13"/>
      <c r="G521" s="12"/>
    </row>
    <row r="522">
      <c r="A522" s="4"/>
      <c r="B522" s="12"/>
      <c r="C522" s="12"/>
      <c r="D522" s="12"/>
      <c r="E522" s="12"/>
      <c r="F522" s="13"/>
      <c r="G522" s="12"/>
    </row>
    <row r="523">
      <c r="A523" s="4"/>
      <c r="B523" s="12"/>
      <c r="C523" s="12"/>
      <c r="D523" s="12"/>
      <c r="E523" s="12"/>
      <c r="F523" s="13"/>
      <c r="G523" s="12"/>
    </row>
    <row r="524">
      <c r="A524" s="4"/>
      <c r="B524" s="12"/>
      <c r="C524" s="12"/>
      <c r="D524" s="12"/>
      <c r="E524" s="12"/>
      <c r="F524" s="13"/>
      <c r="G524" s="12"/>
    </row>
    <row r="525">
      <c r="A525" s="4"/>
      <c r="B525" s="12"/>
      <c r="C525" s="12"/>
      <c r="D525" s="12"/>
      <c r="E525" s="12"/>
      <c r="F525" s="13"/>
      <c r="G525" s="12"/>
    </row>
    <row r="526">
      <c r="A526" s="4"/>
      <c r="B526" s="12"/>
      <c r="C526" s="12"/>
      <c r="D526" s="12"/>
      <c r="E526" s="12"/>
      <c r="F526" s="13"/>
      <c r="G526" s="12"/>
    </row>
    <row r="527">
      <c r="A527" s="4"/>
      <c r="B527" s="12"/>
      <c r="C527" s="12"/>
      <c r="D527" s="12"/>
      <c r="E527" s="12"/>
      <c r="F527" s="13"/>
      <c r="G527" s="12"/>
    </row>
    <row r="528">
      <c r="A528" s="4"/>
      <c r="B528" s="12"/>
      <c r="C528" s="12"/>
      <c r="D528" s="12"/>
      <c r="E528" s="12"/>
      <c r="F528" s="13"/>
      <c r="G528" s="12"/>
    </row>
    <row r="529">
      <c r="A529" s="4"/>
      <c r="B529" s="12"/>
      <c r="C529" s="12"/>
      <c r="D529" s="12"/>
      <c r="E529" s="12"/>
      <c r="F529" s="13"/>
      <c r="G529" s="12"/>
    </row>
    <row r="530">
      <c r="A530" s="4"/>
      <c r="B530" s="12"/>
      <c r="C530" s="12"/>
      <c r="D530" s="12"/>
      <c r="E530" s="12"/>
      <c r="F530" s="13"/>
      <c r="G530" s="12"/>
    </row>
    <row r="531">
      <c r="A531" s="4"/>
      <c r="B531" s="12"/>
      <c r="C531" s="12"/>
      <c r="D531" s="12"/>
      <c r="E531" s="12"/>
      <c r="F531" s="13"/>
      <c r="G531" s="12"/>
    </row>
    <row r="532">
      <c r="A532" s="4"/>
      <c r="B532" s="12"/>
      <c r="C532" s="12"/>
      <c r="D532" s="12"/>
      <c r="E532" s="12"/>
      <c r="F532" s="13"/>
      <c r="G532" s="12"/>
    </row>
    <row r="533">
      <c r="A533" s="4"/>
      <c r="B533" s="12"/>
      <c r="C533" s="12"/>
      <c r="D533" s="12"/>
      <c r="E533" s="12"/>
      <c r="F533" s="13"/>
      <c r="G533" s="12"/>
    </row>
    <row r="534">
      <c r="A534" s="4"/>
      <c r="B534" s="12"/>
      <c r="C534" s="12"/>
      <c r="D534" s="12"/>
      <c r="E534" s="12"/>
      <c r="F534" s="13"/>
      <c r="G534" s="12"/>
    </row>
    <row r="535">
      <c r="A535" s="4"/>
      <c r="B535" s="12"/>
      <c r="C535" s="12"/>
      <c r="D535" s="12"/>
      <c r="E535" s="12"/>
      <c r="F535" s="13"/>
      <c r="G535" s="12"/>
    </row>
    <row r="536">
      <c r="A536" s="4"/>
      <c r="B536" s="12"/>
      <c r="C536" s="12"/>
      <c r="D536" s="12"/>
      <c r="E536" s="12"/>
      <c r="F536" s="13"/>
      <c r="G536" s="12"/>
    </row>
    <row r="537">
      <c r="A537" s="4"/>
      <c r="B537" s="12"/>
      <c r="C537" s="12"/>
      <c r="D537" s="12"/>
      <c r="E537" s="12"/>
      <c r="F537" s="13"/>
      <c r="G537" s="12"/>
    </row>
    <row r="538">
      <c r="A538" s="4"/>
      <c r="B538" s="12"/>
      <c r="C538" s="12"/>
      <c r="D538" s="12"/>
      <c r="E538" s="12"/>
      <c r="F538" s="13"/>
      <c r="G538" s="12"/>
    </row>
    <row r="539">
      <c r="A539" s="4"/>
      <c r="B539" s="12"/>
      <c r="C539" s="12"/>
      <c r="D539" s="12"/>
      <c r="E539" s="12"/>
      <c r="F539" s="13"/>
      <c r="G539" s="12"/>
    </row>
    <row r="540">
      <c r="A540" s="4"/>
      <c r="B540" s="12"/>
      <c r="C540" s="12"/>
      <c r="D540" s="12"/>
      <c r="E540" s="12"/>
      <c r="F540" s="13"/>
      <c r="G540" s="12"/>
    </row>
    <row r="541">
      <c r="A541" s="4"/>
      <c r="B541" s="12"/>
      <c r="C541" s="12"/>
      <c r="D541" s="12"/>
      <c r="E541" s="12"/>
      <c r="F541" s="13"/>
      <c r="G541" s="12"/>
    </row>
    <row r="542">
      <c r="A542" s="4"/>
      <c r="B542" s="12"/>
      <c r="C542" s="12"/>
      <c r="D542" s="12"/>
      <c r="E542" s="12"/>
      <c r="F542" s="13"/>
      <c r="G542" s="12"/>
    </row>
    <row r="543">
      <c r="A543" s="4"/>
      <c r="B543" s="12"/>
      <c r="C543" s="12"/>
      <c r="D543" s="12"/>
      <c r="E543" s="12"/>
      <c r="F543" s="13"/>
      <c r="G543" s="12"/>
    </row>
    <row r="544">
      <c r="A544" s="4"/>
      <c r="B544" s="12"/>
      <c r="C544" s="12"/>
      <c r="D544" s="12"/>
      <c r="E544" s="12"/>
      <c r="F544" s="13"/>
      <c r="G544" s="12"/>
    </row>
    <row r="545">
      <c r="A545" s="4"/>
      <c r="B545" s="12"/>
      <c r="C545" s="12"/>
      <c r="D545" s="12"/>
      <c r="E545" s="12"/>
      <c r="F545" s="13"/>
      <c r="G545" s="12"/>
    </row>
    <row r="546">
      <c r="A546" s="4"/>
      <c r="B546" s="12"/>
      <c r="C546" s="12"/>
      <c r="D546" s="12"/>
      <c r="E546" s="12"/>
      <c r="F546" s="13"/>
      <c r="G546" s="12"/>
    </row>
    <row r="547">
      <c r="A547" s="4"/>
      <c r="B547" s="12"/>
      <c r="C547" s="12"/>
      <c r="D547" s="12"/>
      <c r="E547" s="12"/>
      <c r="F547" s="13"/>
      <c r="G547" s="12"/>
    </row>
    <row r="548">
      <c r="A548" s="4"/>
      <c r="B548" s="12"/>
      <c r="C548" s="12"/>
      <c r="D548" s="12"/>
      <c r="E548" s="12"/>
      <c r="F548" s="13"/>
      <c r="G548" s="12"/>
    </row>
    <row r="549">
      <c r="A549" s="4"/>
      <c r="B549" s="12"/>
      <c r="C549" s="12"/>
      <c r="D549" s="12"/>
      <c r="E549" s="12"/>
      <c r="F549" s="13"/>
      <c r="G549" s="12"/>
    </row>
    <row r="550">
      <c r="A550" s="4"/>
      <c r="B550" s="12"/>
      <c r="C550" s="12"/>
      <c r="D550" s="12"/>
      <c r="E550" s="12"/>
      <c r="F550" s="13"/>
      <c r="G550" s="12"/>
    </row>
    <row r="551">
      <c r="A551" s="4"/>
      <c r="B551" s="12"/>
      <c r="C551" s="12"/>
      <c r="D551" s="12"/>
      <c r="E551" s="12"/>
      <c r="F551" s="13"/>
      <c r="G551" s="12"/>
    </row>
    <row r="552">
      <c r="A552" s="4"/>
      <c r="B552" s="12"/>
      <c r="C552" s="12"/>
      <c r="D552" s="12"/>
      <c r="E552" s="12"/>
      <c r="F552" s="13"/>
      <c r="G552" s="12"/>
    </row>
    <row r="553">
      <c r="A553" s="4"/>
      <c r="B553" s="12"/>
      <c r="C553" s="12"/>
      <c r="D553" s="12"/>
      <c r="E553" s="12"/>
      <c r="F553" s="13"/>
      <c r="G553" s="12"/>
    </row>
    <row r="554">
      <c r="A554" s="4"/>
      <c r="B554" s="12"/>
      <c r="C554" s="12"/>
      <c r="D554" s="12"/>
      <c r="E554" s="12"/>
      <c r="F554" s="13"/>
      <c r="G554" s="12"/>
    </row>
    <row r="555">
      <c r="A555" s="4"/>
      <c r="B555" s="12"/>
      <c r="C555" s="12"/>
      <c r="D555" s="12"/>
      <c r="E555" s="12"/>
      <c r="F555" s="13"/>
      <c r="G555" s="12"/>
    </row>
    <row r="556">
      <c r="A556" s="4"/>
      <c r="B556" s="12"/>
      <c r="C556" s="12"/>
      <c r="D556" s="12"/>
      <c r="E556" s="12"/>
      <c r="F556" s="13"/>
      <c r="G556" s="12"/>
    </row>
    <row r="557">
      <c r="A557" s="4"/>
      <c r="B557" s="12"/>
      <c r="C557" s="12"/>
      <c r="D557" s="12"/>
      <c r="E557" s="12"/>
      <c r="F557" s="13"/>
      <c r="G557" s="12"/>
    </row>
    <row r="558">
      <c r="A558" s="4"/>
      <c r="B558" s="12"/>
      <c r="C558" s="12"/>
      <c r="D558" s="12"/>
      <c r="E558" s="12"/>
      <c r="F558" s="13"/>
      <c r="G558" s="12"/>
    </row>
    <row r="559">
      <c r="A559" s="4"/>
      <c r="B559" s="12"/>
      <c r="C559" s="12"/>
      <c r="D559" s="12"/>
      <c r="E559" s="12"/>
      <c r="F559" s="13"/>
      <c r="G559" s="12"/>
    </row>
    <row r="560">
      <c r="A560" s="4"/>
      <c r="B560" s="12"/>
      <c r="C560" s="12"/>
      <c r="D560" s="12"/>
      <c r="E560" s="12"/>
      <c r="F560" s="13"/>
      <c r="G560" s="12"/>
    </row>
    <row r="561">
      <c r="A561" s="4"/>
      <c r="B561" s="12"/>
      <c r="C561" s="12"/>
      <c r="D561" s="12"/>
      <c r="E561" s="12"/>
      <c r="F561" s="13"/>
      <c r="G561" s="12"/>
    </row>
    <row r="562">
      <c r="A562" s="4"/>
      <c r="B562" s="12"/>
      <c r="C562" s="12"/>
      <c r="D562" s="12"/>
      <c r="E562" s="12"/>
      <c r="F562" s="13"/>
      <c r="G562" s="12"/>
    </row>
    <row r="563">
      <c r="A563" s="4"/>
      <c r="B563" s="12"/>
      <c r="C563" s="12"/>
      <c r="D563" s="12"/>
      <c r="E563" s="12"/>
      <c r="F563" s="13"/>
      <c r="G563" s="12"/>
    </row>
    <row r="564">
      <c r="A564" s="4"/>
      <c r="B564" s="12"/>
      <c r="C564" s="12"/>
      <c r="D564" s="12"/>
      <c r="E564" s="12"/>
      <c r="F564" s="13"/>
      <c r="G564" s="12"/>
    </row>
    <row r="565">
      <c r="A565" s="4"/>
      <c r="B565" s="12"/>
      <c r="C565" s="12"/>
      <c r="D565" s="12"/>
      <c r="E565" s="12"/>
      <c r="F565" s="13"/>
      <c r="G565" s="12"/>
    </row>
    <row r="566">
      <c r="A566" s="4"/>
      <c r="B566" s="12"/>
      <c r="C566" s="12"/>
      <c r="D566" s="12"/>
      <c r="E566" s="12"/>
      <c r="F566" s="13"/>
      <c r="G566" s="12"/>
    </row>
    <row r="567">
      <c r="A567" s="4"/>
      <c r="B567" s="12"/>
      <c r="C567" s="12"/>
      <c r="D567" s="12"/>
      <c r="E567" s="12"/>
      <c r="F567" s="13"/>
      <c r="G567" s="12"/>
    </row>
    <row r="568">
      <c r="A568" s="4"/>
      <c r="B568" s="12"/>
      <c r="C568" s="12"/>
      <c r="D568" s="12"/>
      <c r="E568" s="12"/>
      <c r="F568" s="13"/>
      <c r="G568" s="12"/>
    </row>
    <row r="569">
      <c r="A569" s="4"/>
      <c r="B569" s="12"/>
      <c r="C569" s="12"/>
      <c r="D569" s="12"/>
      <c r="E569" s="12"/>
      <c r="F569" s="13"/>
      <c r="G569" s="12"/>
    </row>
    <row r="570">
      <c r="A570" s="4"/>
      <c r="B570" s="12"/>
      <c r="C570" s="12"/>
      <c r="D570" s="12"/>
      <c r="E570" s="12"/>
      <c r="F570" s="13"/>
      <c r="G570" s="12"/>
    </row>
    <row r="571">
      <c r="A571" s="4"/>
      <c r="B571" s="12"/>
      <c r="C571" s="12"/>
      <c r="D571" s="12"/>
      <c r="E571" s="12"/>
      <c r="F571" s="13"/>
      <c r="G571" s="12"/>
    </row>
    <row r="572">
      <c r="A572" s="4"/>
      <c r="B572" s="12"/>
      <c r="C572" s="12"/>
      <c r="D572" s="12"/>
      <c r="E572" s="12"/>
      <c r="F572" s="13"/>
      <c r="G572" s="12"/>
    </row>
    <row r="573">
      <c r="A573" s="4"/>
      <c r="B573" s="12"/>
      <c r="C573" s="12"/>
      <c r="D573" s="12"/>
      <c r="E573" s="12"/>
      <c r="F573" s="13"/>
      <c r="G573" s="12"/>
    </row>
    <row r="574">
      <c r="A574" s="4"/>
      <c r="B574" s="12"/>
      <c r="C574" s="12"/>
      <c r="D574" s="12"/>
      <c r="E574" s="12"/>
      <c r="F574" s="13"/>
      <c r="G574" s="12"/>
    </row>
    <row r="575">
      <c r="A575" s="4"/>
      <c r="B575" s="12"/>
      <c r="C575" s="12"/>
      <c r="D575" s="12"/>
      <c r="E575" s="12"/>
      <c r="F575" s="13"/>
      <c r="G575" s="12"/>
    </row>
    <row r="576">
      <c r="A576" s="4"/>
      <c r="B576" s="12"/>
      <c r="C576" s="12"/>
      <c r="D576" s="12"/>
      <c r="E576" s="12"/>
      <c r="F576" s="13"/>
      <c r="G576" s="12"/>
    </row>
    <row r="577">
      <c r="A577" s="4"/>
      <c r="B577" s="12"/>
      <c r="C577" s="12"/>
      <c r="D577" s="12"/>
      <c r="E577" s="12"/>
      <c r="F577" s="13"/>
      <c r="G577" s="12"/>
    </row>
    <row r="578">
      <c r="A578" s="4"/>
      <c r="B578" s="12"/>
      <c r="C578" s="12"/>
      <c r="D578" s="12"/>
      <c r="E578" s="12"/>
      <c r="F578" s="13"/>
      <c r="G578" s="12"/>
    </row>
    <row r="579">
      <c r="A579" s="4"/>
      <c r="B579" s="12"/>
      <c r="C579" s="12"/>
      <c r="D579" s="12"/>
      <c r="E579" s="12"/>
      <c r="F579" s="13"/>
      <c r="G579" s="12"/>
    </row>
    <row r="580">
      <c r="A580" s="4"/>
      <c r="B580" s="12"/>
      <c r="C580" s="12"/>
      <c r="D580" s="12"/>
      <c r="E580" s="12"/>
      <c r="F580" s="13"/>
      <c r="G580" s="12"/>
    </row>
    <row r="581">
      <c r="A581" s="4"/>
      <c r="B581" s="12"/>
      <c r="C581" s="12"/>
      <c r="D581" s="12"/>
      <c r="E581" s="12"/>
      <c r="F581" s="13"/>
      <c r="G581" s="12"/>
    </row>
    <row r="582">
      <c r="A582" s="4"/>
      <c r="B582" s="12"/>
      <c r="C582" s="12"/>
      <c r="D582" s="12"/>
      <c r="E582" s="12"/>
      <c r="F582" s="13"/>
      <c r="G582" s="12"/>
    </row>
    <row r="583">
      <c r="A583" s="4"/>
      <c r="B583" s="12"/>
      <c r="C583" s="12"/>
      <c r="D583" s="12"/>
      <c r="E583" s="12"/>
      <c r="F583" s="13"/>
      <c r="G583" s="12"/>
    </row>
    <row r="584">
      <c r="A584" s="4"/>
      <c r="B584" s="12"/>
      <c r="C584" s="12"/>
      <c r="D584" s="12"/>
      <c r="E584" s="12"/>
      <c r="F584" s="13"/>
      <c r="G584" s="12"/>
    </row>
    <row r="585">
      <c r="A585" s="4"/>
      <c r="B585" s="12"/>
      <c r="C585" s="12"/>
      <c r="D585" s="12"/>
      <c r="E585" s="12"/>
      <c r="F585" s="13"/>
      <c r="G585" s="12"/>
    </row>
    <row r="586">
      <c r="A586" s="4"/>
      <c r="B586" s="12"/>
      <c r="C586" s="12"/>
      <c r="D586" s="12"/>
      <c r="E586" s="12"/>
      <c r="F586" s="13"/>
      <c r="G586" s="12"/>
    </row>
    <row r="587">
      <c r="A587" s="4"/>
      <c r="B587" s="12"/>
      <c r="C587" s="12"/>
      <c r="D587" s="12"/>
      <c r="E587" s="12"/>
      <c r="F587" s="13"/>
      <c r="G587" s="12"/>
    </row>
    <row r="588">
      <c r="A588" s="4"/>
      <c r="B588" s="12"/>
      <c r="C588" s="12"/>
      <c r="D588" s="12"/>
      <c r="E588" s="12"/>
      <c r="F588" s="13"/>
      <c r="G588" s="12"/>
    </row>
    <row r="589">
      <c r="A589" s="4"/>
      <c r="B589" s="12"/>
      <c r="C589" s="12"/>
      <c r="D589" s="12"/>
      <c r="E589" s="12"/>
      <c r="F589" s="13"/>
      <c r="G589" s="12"/>
    </row>
    <row r="590">
      <c r="A590" s="4"/>
      <c r="B590" s="12"/>
      <c r="C590" s="12"/>
      <c r="D590" s="12"/>
      <c r="E590" s="12"/>
      <c r="F590" s="13"/>
      <c r="G590" s="12"/>
    </row>
    <row r="591">
      <c r="A591" s="4"/>
      <c r="B591" s="12"/>
      <c r="C591" s="12"/>
      <c r="D591" s="12"/>
      <c r="E591" s="12"/>
      <c r="F591" s="13"/>
      <c r="G591" s="12"/>
    </row>
    <row r="592">
      <c r="A592" s="4"/>
      <c r="B592" s="12"/>
      <c r="C592" s="12"/>
      <c r="D592" s="12"/>
      <c r="E592" s="12"/>
      <c r="F592" s="13"/>
      <c r="G592" s="12"/>
    </row>
    <row r="593">
      <c r="A593" s="4"/>
      <c r="B593" s="12"/>
      <c r="C593" s="12"/>
      <c r="D593" s="12"/>
      <c r="E593" s="12"/>
      <c r="F593" s="13"/>
      <c r="G593" s="12"/>
    </row>
    <row r="594">
      <c r="A594" s="4"/>
      <c r="B594" s="12"/>
      <c r="C594" s="12"/>
      <c r="D594" s="12"/>
      <c r="E594" s="12"/>
      <c r="F594" s="13"/>
      <c r="G594" s="12"/>
    </row>
    <row r="595">
      <c r="A595" s="4"/>
      <c r="B595" s="12"/>
      <c r="C595" s="12"/>
      <c r="D595" s="12"/>
      <c r="E595" s="12"/>
      <c r="F595" s="13"/>
      <c r="G595" s="12"/>
    </row>
    <row r="596">
      <c r="A596" s="4"/>
      <c r="B596" s="12"/>
      <c r="C596" s="12"/>
      <c r="D596" s="12"/>
      <c r="E596" s="12"/>
      <c r="F596" s="13"/>
      <c r="G596" s="12"/>
    </row>
    <row r="597">
      <c r="A597" s="4"/>
      <c r="B597" s="12"/>
      <c r="C597" s="12"/>
      <c r="D597" s="12"/>
      <c r="E597" s="12"/>
      <c r="F597" s="13"/>
      <c r="G597" s="12"/>
    </row>
    <row r="598">
      <c r="A598" s="4"/>
      <c r="B598" s="12"/>
      <c r="C598" s="12"/>
      <c r="D598" s="12"/>
      <c r="E598" s="12"/>
      <c r="F598" s="13"/>
      <c r="G598" s="12"/>
    </row>
    <row r="599">
      <c r="A599" s="4"/>
      <c r="B599" s="12"/>
      <c r="C599" s="12"/>
      <c r="D599" s="12"/>
      <c r="E599" s="12"/>
      <c r="F599" s="13"/>
      <c r="G599" s="12"/>
    </row>
    <row r="600">
      <c r="A600" s="4"/>
      <c r="B600" s="12"/>
      <c r="C600" s="12"/>
      <c r="D600" s="12"/>
      <c r="E600" s="12"/>
      <c r="F600" s="13"/>
      <c r="G600" s="12"/>
    </row>
    <row r="601">
      <c r="A601" s="4"/>
      <c r="B601" s="12"/>
      <c r="C601" s="12"/>
      <c r="D601" s="12"/>
      <c r="E601" s="12"/>
      <c r="F601" s="13"/>
      <c r="G601" s="12"/>
    </row>
    <row r="602">
      <c r="A602" s="4"/>
      <c r="B602" s="12"/>
      <c r="C602" s="12"/>
      <c r="D602" s="12"/>
      <c r="E602" s="12"/>
      <c r="F602" s="13"/>
      <c r="G602" s="12"/>
    </row>
    <row r="603">
      <c r="A603" s="4"/>
      <c r="B603" s="12"/>
      <c r="C603" s="12"/>
      <c r="D603" s="12"/>
      <c r="E603" s="12"/>
      <c r="F603" s="13"/>
      <c r="G603" s="12"/>
    </row>
    <row r="604">
      <c r="A604" s="4"/>
      <c r="B604" s="12"/>
      <c r="C604" s="12"/>
      <c r="D604" s="12"/>
      <c r="E604" s="12"/>
      <c r="F604" s="13"/>
      <c r="G604" s="12"/>
    </row>
    <row r="605">
      <c r="A605" s="4"/>
      <c r="B605" s="12"/>
      <c r="C605" s="12"/>
      <c r="D605" s="12"/>
      <c r="E605" s="12"/>
      <c r="F605" s="13"/>
      <c r="G605" s="12"/>
    </row>
    <row r="606">
      <c r="A606" s="4"/>
      <c r="B606" s="12"/>
      <c r="C606" s="12"/>
      <c r="D606" s="12"/>
      <c r="E606" s="12"/>
      <c r="F606" s="13"/>
      <c r="G606" s="12"/>
    </row>
    <row r="607">
      <c r="A607" s="4"/>
      <c r="B607" s="12"/>
      <c r="C607" s="12"/>
      <c r="D607" s="12"/>
      <c r="E607" s="12"/>
      <c r="F607" s="13"/>
      <c r="G607" s="12"/>
    </row>
    <row r="608">
      <c r="A608" s="4"/>
      <c r="B608" s="12"/>
      <c r="C608" s="12"/>
      <c r="D608" s="12"/>
      <c r="E608" s="12"/>
      <c r="F608" s="13"/>
      <c r="G608" s="12"/>
    </row>
    <row r="609">
      <c r="A609" s="4"/>
      <c r="B609" s="12"/>
      <c r="C609" s="12"/>
      <c r="D609" s="12"/>
      <c r="E609" s="12"/>
      <c r="F609" s="13"/>
      <c r="G609" s="12"/>
    </row>
    <row r="610">
      <c r="A610" s="4"/>
      <c r="B610" s="12"/>
      <c r="C610" s="12"/>
      <c r="D610" s="12"/>
      <c r="E610" s="12"/>
      <c r="F610" s="13"/>
      <c r="G610" s="12"/>
    </row>
    <row r="611">
      <c r="A611" s="4"/>
      <c r="B611" s="12"/>
      <c r="C611" s="12"/>
      <c r="D611" s="12"/>
      <c r="E611" s="12"/>
      <c r="F611" s="13"/>
      <c r="G611" s="12"/>
    </row>
    <row r="612">
      <c r="A612" s="4"/>
      <c r="B612" s="12"/>
      <c r="C612" s="12"/>
      <c r="D612" s="12"/>
      <c r="E612" s="12"/>
      <c r="F612" s="13"/>
      <c r="G612" s="12"/>
    </row>
    <row r="613">
      <c r="A613" s="4"/>
      <c r="B613" s="12"/>
      <c r="C613" s="12"/>
      <c r="D613" s="12"/>
      <c r="E613" s="12"/>
      <c r="F613" s="13"/>
      <c r="G613" s="12"/>
    </row>
    <row r="614">
      <c r="A614" s="4"/>
      <c r="B614" s="12"/>
      <c r="C614" s="12"/>
      <c r="D614" s="12"/>
      <c r="E614" s="12"/>
      <c r="F614" s="13"/>
      <c r="G614" s="12"/>
    </row>
    <row r="615">
      <c r="A615" s="4"/>
      <c r="B615" s="12"/>
      <c r="C615" s="12"/>
      <c r="D615" s="12"/>
      <c r="E615" s="12"/>
      <c r="F615" s="13"/>
      <c r="G615" s="12"/>
    </row>
    <row r="616">
      <c r="A616" s="4"/>
      <c r="B616" s="12"/>
      <c r="C616" s="12"/>
      <c r="D616" s="12"/>
      <c r="E616" s="12"/>
      <c r="F616" s="13"/>
      <c r="G616" s="12"/>
    </row>
    <row r="617">
      <c r="A617" s="4"/>
      <c r="B617" s="12"/>
      <c r="C617" s="12"/>
      <c r="D617" s="12"/>
      <c r="E617" s="12"/>
      <c r="F617" s="13"/>
      <c r="G617" s="12"/>
    </row>
    <row r="618">
      <c r="A618" s="4"/>
      <c r="B618" s="12"/>
      <c r="C618" s="12"/>
      <c r="D618" s="12"/>
      <c r="E618" s="12"/>
      <c r="F618" s="13"/>
      <c r="G618" s="12"/>
    </row>
    <row r="619">
      <c r="A619" s="4"/>
      <c r="B619" s="12"/>
      <c r="C619" s="12"/>
      <c r="D619" s="12"/>
      <c r="E619" s="12"/>
      <c r="F619" s="13"/>
      <c r="G619" s="12"/>
    </row>
    <row r="620">
      <c r="A620" s="4"/>
      <c r="B620" s="12"/>
      <c r="C620" s="12"/>
      <c r="D620" s="12"/>
      <c r="E620" s="12"/>
      <c r="F620" s="13"/>
      <c r="G620" s="12"/>
    </row>
    <row r="621">
      <c r="A621" s="4"/>
      <c r="B621" s="12"/>
      <c r="C621" s="12"/>
      <c r="D621" s="12"/>
      <c r="E621" s="12"/>
      <c r="F621" s="13"/>
      <c r="G621" s="12"/>
    </row>
    <row r="622">
      <c r="A622" s="4"/>
      <c r="B622" s="12"/>
      <c r="C622" s="12"/>
      <c r="D622" s="12"/>
      <c r="E622" s="12"/>
      <c r="F622" s="13"/>
      <c r="G622" s="12"/>
    </row>
    <row r="623">
      <c r="A623" s="4"/>
      <c r="B623" s="12"/>
      <c r="C623" s="12"/>
      <c r="D623" s="12"/>
      <c r="E623" s="12"/>
      <c r="F623" s="13"/>
      <c r="G623" s="12"/>
    </row>
    <row r="624">
      <c r="A624" s="4"/>
      <c r="B624" s="12"/>
      <c r="C624" s="12"/>
      <c r="D624" s="12"/>
      <c r="E624" s="12"/>
      <c r="F624" s="13"/>
      <c r="G624" s="12"/>
    </row>
    <row r="625">
      <c r="A625" s="4"/>
      <c r="B625" s="12"/>
      <c r="C625" s="12"/>
      <c r="D625" s="12"/>
      <c r="E625" s="12"/>
      <c r="F625" s="13"/>
      <c r="G625" s="12"/>
    </row>
    <row r="626">
      <c r="A626" s="4"/>
      <c r="B626" s="12"/>
      <c r="C626" s="12"/>
      <c r="D626" s="12"/>
      <c r="E626" s="12"/>
      <c r="F626" s="13"/>
      <c r="G626" s="12"/>
    </row>
    <row r="627">
      <c r="A627" s="4"/>
      <c r="B627" s="12"/>
      <c r="C627" s="12"/>
      <c r="D627" s="12"/>
      <c r="E627" s="12"/>
      <c r="F627" s="13"/>
      <c r="G627" s="12"/>
    </row>
    <row r="628">
      <c r="A628" s="4"/>
      <c r="B628" s="12"/>
      <c r="C628" s="12"/>
      <c r="D628" s="12"/>
      <c r="E628" s="12"/>
      <c r="F628" s="13"/>
      <c r="G628" s="12"/>
    </row>
    <row r="629">
      <c r="A629" s="4"/>
      <c r="B629" s="12"/>
      <c r="C629" s="12"/>
      <c r="D629" s="12"/>
      <c r="E629" s="12"/>
      <c r="F629" s="13"/>
      <c r="G629" s="12"/>
    </row>
    <row r="630">
      <c r="A630" s="4"/>
      <c r="B630" s="12"/>
      <c r="C630" s="12"/>
      <c r="D630" s="12"/>
      <c r="E630" s="12"/>
      <c r="F630" s="13"/>
      <c r="G630" s="12"/>
    </row>
    <row r="631">
      <c r="A631" s="4"/>
      <c r="B631" s="12"/>
      <c r="C631" s="12"/>
      <c r="D631" s="12"/>
      <c r="E631" s="12"/>
      <c r="F631" s="13"/>
      <c r="G631" s="12"/>
    </row>
    <row r="632">
      <c r="A632" s="4"/>
      <c r="B632" s="12"/>
      <c r="C632" s="12"/>
      <c r="D632" s="12"/>
      <c r="E632" s="12"/>
      <c r="F632" s="13"/>
      <c r="G632" s="12"/>
    </row>
    <row r="633">
      <c r="A633" s="4"/>
      <c r="B633" s="12"/>
      <c r="C633" s="12"/>
      <c r="D633" s="12"/>
      <c r="E633" s="12"/>
      <c r="F633" s="13"/>
      <c r="G633" s="12"/>
    </row>
    <row r="634">
      <c r="A634" s="4"/>
      <c r="B634" s="12"/>
      <c r="C634" s="12"/>
      <c r="D634" s="12"/>
      <c r="E634" s="12"/>
      <c r="F634" s="13"/>
      <c r="G634" s="12"/>
    </row>
    <row r="635">
      <c r="A635" s="4"/>
      <c r="B635" s="12"/>
      <c r="C635" s="12"/>
      <c r="D635" s="12"/>
      <c r="E635" s="12"/>
      <c r="F635" s="13"/>
      <c r="G635" s="12"/>
    </row>
    <row r="636">
      <c r="A636" s="4"/>
      <c r="B636" s="12"/>
      <c r="C636" s="12"/>
      <c r="D636" s="12"/>
      <c r="E636" s="12"/>
      <c r="F636" s="13"/>
      <c r="G636" s="12"/>
    </row>
    <row r="637">
      <c r="A637" s="4"/>
      <c r="B637" s="12"/>
      <c r="C637" s="12"/>
      <c r="D637" s="12"/>
      <c r="E637" s="12"/>
      <c r="F637" s="13"/>
      <c r="G637" s="12"/>
    </row>
    <row r="638">
      <c r="A638" s="4"/>
      <c r="B638" s="12"/>
      <c r="C638" s="12"/>
      <c r="D638" s="12"/>
      <c r="E638" s="12"/>
      <c r="F638" s="13"/>
      <c r="G638" s="12"/>
    </row>
    <row r="639">
      <c r="A639" s="4"/>
      <c r="B639" s="12"/>
      <c r="C639" s="12"/>
      <c r="D639" s="12"/>
      <c r="E639" s="12"/>
      <c r="F639" s="13"/>
      <c r="G639" s="12"/>
    </row>
    <row r="640">
      <c r="A640" s="4"/>
      <c r="B640" s="12"/>
      <c r="C640" s="12"/>
      <c r="D640" s="12"/>
      <c r="E640" s="12"/>
      <c r="F640" s="13"/>
      <c r="G640" s="12"/>
    </row>
    <row r="641">
      <c r="A641" s="4"/>
      <c r="B641" s="12"/>
      <c r="C641" s="12"/>
      <c r="D641" s="12"/>
      <c r="E641" s="12"/>
      <c r="F641" s="13"/>
      <c r="G641" s="12"/>
    </row>
    <row r="642">
      <c r="A642" s="4"/>
      <c r="B642" s="12"/>
      <c r="C642" s="12"/>
      <c r="D642" s="12"/>
      <c r="E642" s="12"/>
      <c r="F642" s="13"/>
      <c r="G642" s="12"/>
    </row>
    <row r="643">
      <c r="A643" s="4"/>
      <c r="B643" s="12"/>
      <c r="C643" s="12"/>
      <c r="D643" s="12"/>
      <c r="E643" s="12"/>
      <c r="F643" s="13"/>
      <c r="G643" s="12"/>
    </row>
    <row r="644">
      <c r="A644" s="4"/>
      <c r="B644" s="12"/>
      <c r="C644" s="12"/>
      <c r="D644" s="12"/>
      <c r="E644" s="12"/>
      <c r="F644" s="13"/>
      <c r="G644" s="12"/>
    </row>
    <row r="645">
      <c r="A645" s="4"/>
      <c r="B645" s="12"/>
      <c r="C645" s="12"/>
      <c r="D645" s="12"/>
      <c r="E645" s="12"/>
      <c r="F645" s="13"/>
      <c r="G645" s="12"/>
    </row>
    <row r="646">
      <c r="A646" s="4"/>
      <c r="B646" s="12"/>
      <c r="C646" s="12"/>
      <c r="D646" s="12"/>
      <c r="E646" s="12"/>
      <c r="F646" s="13"/>
      <c r="G646" s="12"/>
    </row>
    <row r="647">
      <c r="A647" s="4"/>
      <c r="B647" s="12"/>
      <c r="C647" s="12"/>
      <c r="D647" s="12"/>
      <c r="E647" s="12"/>
      <c r="F647" s="13"/>
      <c r="G647" s="12"/>
    </row>
    <row r="648">
      <c r="A648" s="4"/>
      <c r="B648" s="12"/>
      <c r="C648" s="12"/>
      <c r="D648" s="12"/>
      <c r="E648" s="12"/>
      <c r="F648" s="13"/>
      <c r="G648" s="12"/>
    </row>
    <row r="649">
      <c r="A649" s="4"/>
      <c r="B649" s="12"/>
      <c r="C649" s="12"/>
      <c r="D649" s="12"/>
      <c r="E649" s="12"/>
      <c r="F649" s="13"/>
      <c r="G649" s="12"/>
    </row>
    <row r="650">
      <c r="A650" s="4"/>
      <c r="B650" s="12"/>
      <c r="C650" s="12"/>
      <c r="D650" s="12"/>
      <c r="E650" s="12"/>
      <c r="F650" s="13"/>
      <c r="G650" s="12"/>
    </row>
    <row r="651">
      <c r="A651" s="4"/>
      <c r="B651" s="12"/>
      <c r="C651" s="12"/>
      <c r="D651" s="12"/>
      <c r="E651" s="12"/>
      <c r="F651" s="13"/>
      <c r="G651" s="12"/>
    </row>
    <row r="652">
      <c r="A652" s="4"/>
      <c r="B652" s="12"/>
      <c r="C652" s="12"/>
      <c r="D652" s="12"/>
      <c r="E652" s="12"/>
      <c r="F652" s="13"/>
      <c r="G652" s="12"/>
    </row>
    <row r="653">
      <c r="A653" s="4"/>
      <c r="B653" s="12"/>
      <c r="C653" s="12"/>
      <c r="D653" s="12"/>
      <c r="E653" s="12"/>
      <c r="F653" s="13"/>
      <c r="G653" s="12"/>
    </row>
    <row r="654">
      <c r="A654" s="4"/>
      <c r="B654" s="12"/>
      <c r="C654" s="12"/>
      <c r="D654" s="12"/>
      <c r="E654" s="12"/>
      <c r="F654" s="13"/>
      <c r="G654" s="12"/>
    </row>
    <row r="655">
      <c r="A655" s="4"/>
      <c r="B655" s="12"/>
      <c r="C655" s="12"/>
      <c r="D655" s="12"/>
      <c r="E655" s="12"/>
      <c r="F655" s="13"/>
      <c r="G655" s="12"/>
    </row>
    <row r="656">
      <c r="A656" s="4"/>
      <c r="B656" s="12"/>
      <c r="C656" s="12"/>
      <c r="D656" s="12"/>
      <c r="E656" s="12"/>
      <c r="F656" s="13"/>
      <c r="G656" s="12"/>
    </row>
    <row r="657">
      <c r="A657" s="4"/>
      <c r="B657" s="12"/>
      <c r="C657" s="12"/>
      <c r="D657" s="12"/>
      <c r="E657" s="12"/>
      <c r="F657" s="13"/>
      <c r="G657" s="12"/>
    </row>
    <row r="658">
      <c r="A658" s="4"/>
      <c r="B658" s="12"/>
      <c r="C658" s="12"/>
      <c r="D658" s="12"/>
      <c r="E658" s="12"/>
      <c r="F658" s="13"/>
      <c r="G658" s="12"/>
    </row>
    <row r="659">
      <c r="A659" s="4"/>
      <c r="B659" s="12"/>
      <c r="C659" s="12"/>
      <c r="D659" s="12"/>
      <c r="E659" s="12"/>
      <c r="F659" s="13"/>
      <c r="G659" s="12"/>
    </row>
    <row r="660">
      <c r="A660" s="4"/>
      <c r="B660" s="12"/>
      <c r="C660" s="12"/>
      <c r="D660" s="12"/>
      <c r="E660" s="12"/>
      <c r="F660" s="13"/>
      <c r="G660" s="12"/>
    </row>
    <row r="661">
      <c r="A661" s="4"/>
      <c r="B661" s="12"/>
      <c r="C661" s="12"/>
      <c r="D661" s="12"/>
      <c r="E661" s="12"/>
      <c r="F661" s="13"/>
      <c r="G661" s="12"/>
    </row>
    <row r="662">
      <c r="A662" s="4"/>
      <c r="B662" s="12"/>
      <c r="C662" s="12"/>
      <c r="D662" s="12"/>
      <c r="E662" s="12"/>
      <c r="F662" s="13"/>
      <c r="G662" s="12"/>
    </row>
    <row r="663">
      <c r="A663" s="4"/>
      <c r="B663" s="12"/>
      <c r="C663" s="12"/>
      <c r="D663" s="12"/>
      <c r="E663" s="12"/>
      <c r="F663" s="13"/>
      <c r="G663" s="12"/>
    </row>
    <row r="664">
      <c r="A664" s="4"/>
      <c r="B664" s="12"/>
      <c r="C664" s="12"/>
      <c r="D664" s="12"/>
      <c r="E664" s="12"/>
      <c r="F664" s="13"/>
      <c r="G664" s="12"/>
    </row>
    <row r="665">
      <c r="A665" s="4"/>
      <c r="B665" s="12"/>
      <c r="C665" s="12"/>
      <c r="D665" s="12"/>
      <c r="E665" s="12"/>
      <c r="F665" s="13"/>
      <c r="G665" s="12"/>
    </row>
    <row r="666">
      <c r="A666" s="4"/>
      <c r="B666" s="12"/>
      <c r="C666" s="12"/>
      <c r="D666" s="12"/>
      <c r="E666" s="12"/>
      <c r="F666" s="13"/>
      <c r="G666" s="12"/>
    </row>
    <row r="667">
      <c r="A667" s="4"/>
      <c r="B667" s="12"/>
      <c r="C667" s="12"/>
      <c r="D667" s="12"/>
      <c r="E667" s="12"/>
      <c r="F667" s="13"/>
      <c r="G667" s="12"/>
    </row>
    <row r="668">
      <c r="A668" s="4"/>
      <c r="B668" s="12"/>
      <c r="C668" s="12"/>
      <c r="D668" s="12"/>
      <c r="E668" s="12"/>
      <c r="F668" s="13"/>
      <c r="G668" s="12"/>
    </row>
    <row r="669">
      <c r="A669" s="4"/>
      <c r="B669" s="12"/>
      <c r="C669" s="12"/>
      <c r="D669" s="12"/>
      <c r="E669" s="12"/>
      <c r="F669" s="13"/>
      <c r="G669" s="12"/>
    </row>
    <row r="670">
      <c r="A670" s="4"/>
      <c r="B670" s="12"/>
      <c r="C670" s="12"/>
      <c r="D670" s="12"/>
      <c r="E670" s="12"/>
      <c r="F670" s="13"/>
      <c r="G670" s="12"/>
    </row>
    <row r="671">
      <c r="A671" s="4"/>
      <c r="B671" s="12"/>
      <c r="C671" s="12"/>
      <c r="D671" s="12"/>
      <c r="E671" s="12"/>
      <c r="F671" s="13"/>
      <c r="G671" s="12"/>
    </row>
    <row r="672">
      <c r="A672" s="4"/>
      <c r="B672" s="12"/>
      <c r="C672" s="12"/>
      <c r="D672" s="12"/>
      <c r="E672" s="12"/>
      <c r="F672" s="13"/>
      <c r="G672" s="12"/>
    </row>
    <row r="673">
      <c r="A673" s="4"/>
      <c r="B673" s="12"/>
      <c r="C673" s="12"/>
      <c r="D673" s="12"/>
      <c r="E673" s="12"/>
      <c r="F673" s="13"/>
      <c r="G673" s="12"/>
    </row>
    <row r="674">
      <c r="A674" s="4"/>
      <c r="B674" s="12"/>
      <c r="C674" s="12"/>
      <c r="D674" s="12"/>
      <c r="E674" s="12"/>
      <c r="F674" s="13"/>
      <c r="G674" s="12"/>
    </row>
    <row r="675">
      <c r="A675" s="4"/>
      <c r="B675" s="12"/>
      <c r="C675" s="12"/>
      <c r="D675" s="12"/>
      <c r="E675" s="12"/>
      <c r="F675" s="13"/>
      <c r="G675" s="12"/>
    </row>
    <row r="676">
      <c r="A676" s="4"/>
      <c r="B676" s="12"/>
      <c r="C676" s="12"/>
      <c r="D676" s="12"/>
      <c r="E676" s="12"/>
      <c r="F676" s="13"/>
      <c r="G676" s="12"/>
    </row>
    <row r="677">
      <c r="A677" s="4"/>
      <c r="B677" s="12"/>
      <c r="C677" s="12"/>
      <c r="D677" s="12"/>
      <c r="E677" s="12"/>
      <c r="F677" s="13"/>
      <c r="G677" s="12"/>
    </row>
    <row r="678">
      <c r="A678" s="4"/>
      <c r="B678" s="12"/>
      <c r="C678" s="12"/>
      <c r="D678" s="12"/>
      <c r="E678" s="12"/>
      <c r="F678" s="13"/>
      <c r="G678" s="12"/>
    </row>
    <row r="679">
      <c r="A679" s="4"/>
      <c r="B679" s="12"/>
      <c r="C679" s="12"/>
      <c r="D679" s="12"/>
      <c r="E679" s="12"/>
      <c r="F679" s="13"/>
      <c r="G679" s="12"/>
    </row>
    <row r="680">
      <c r="A680" s="4"/>
      <c r="B680" s="12"/>
      <c r="C680" s="12"/>
      <c r="D680" s="12"/>
      <c r="E680" s="12"/>
      <c r="F680" s="13"/>
      <c r="G680" s="12"/>
    </row>
    <row r="681">
      <c r="A681" s="4"/>
      <c r="B681" s="12"/>
      <c r="C681" s="12"/>
      <c r="D681" s="12"/>
      <c r="E681" s="12"/>
      <c r="F681" s="13"/>
      <c r="G681" s="12"/>
    </row>
    <row r="682">
      <c r="A682" s="4"/>
      <c r="B682" s="12"/>
      <c r="C682" s="12"/>
      <c r="D682" s="12"/>
      <c r="E682" s="12"/>
      <c r="F682" s="13"/>
      <c r="G682" s="12"/>
    </row>
    <row r="683">
      <c r="A683" s="4"/>
      <c r="B683" s="12"/>
      <c r="C683" s="12"/>
      <c r="D683" s="12"/>
      <c r="E683" s="12"/>
      <c r="F683" s="13"/>
      <c r="G683" s="12"/>
    </row>
    <row r="684">
      <c r="A684" s="4"/>
      <c r="B684" s="12"/>
      <c r="C684" s="12"/>
      <c r="D684" s="12"/>
      <c r="E684" s="12"/>
      <c r="F684" s="13"/>
      <c r="G684" s="12"/>
    </row>
    <row r="685">
      <c r="A685" s="4"/>
      <c r="B685" s="12"/>
      <c r="C685" s="12"/>
      <c r="D685" s="12"/>
      <c r="E685" s="12"/>
      <c r="F685" s="13"/>
      <c r="G685" s="12"/>
    </row>
    <row r="686">
      <c r="A686" s="4"/>
      <c r="B686" s="12"/>
      <c r="C686" s="12"/>
      <c r="D686" s="12"/>
      <c r="E686" s="12"/>
      <c r="F686" s="13"/>
      <c r="G686" s="12"/>
    </row>
    <row r="687">
      <c r="A687" s="4"/>
      <c r="B687" s="12"/>
      <c r="C687" s="12"/>
      <c r="D687" s="12"/>
      <c r="E687" s="12"/>
      <c r="F687" s="13"/>
      <c r="G687" s="12"/>
    </row>
    <row r="688">
      <c r="A688" s="4"/>
      <c r="B688" s="12"/>
      <c r="C688" s="12"/>
      <c r="D688" s="12"/>
      <c r="E688" s="12"/>
      <c r="F688" s="13"/>
      <c r="G688" s="12"/>
    </row>
    <row r="689">
      <c r="A689" s="4"/>
      <c r="B689" s="12"/>
      <c r="C689" s="12"/>
      <c r="D689" s="12"/>
      <c r="E689" s="12"/>
      <c r="F689" s="13"/>
      <c r="G689" s="12"/>
    </row>
    <row r="690">
      <c r="A690" s="4"/>
      <c r="B690" s="12"/>
      <c r="C690" s="12"/>
      <c r="D690" s="12"/>
      <c r="E690" s="12"/>
      <c r="F690" s="13"/>
      <c r="G690" s="12"/>
    </row>
    <row r="691">
      <c r="A691" s="4"/>
      <c r="B691" s="12"/>
      <c r="C691" s="12"/>
      <c r="D691" s="12"/>
      <c r="E691" s="12"/>
      <c r="F691" s="13"/>
      <c r="G691" s="12"/>
    </row>
    <row r="692">
      <c r="A692" s="4"/>
      <c r="B692" s="12"/>
      <c r="C692" s="12"/>
      <c r="D692" s="12"/>
      <c r="E692" s="12"/>
      <c r="F692" s="13"/>
      <c r="G692" s="12"/>
    </row>
    <row r="693">
      <c r="A693" s="4"/>
      <c r="B693" s="12"/>
      <c r="C693" s="12"/>
      <c r="D693" s="12"/>
      <c r="E693" s="12"/>
      <c r="F693" s="13"/>
      <c r="G693" s="12"/>
    </row>
    <row r="694">
      <c r="A694" s="4"/>
      <c r="B694" s="12"/>
      <c r="C694" s="12"/>
      <c r="D694" s="12"/>
      <c r="E694" s="12"/>
      <c r="F694" s="13"/>
      <c r="G694" s="12"/>
    </row>
    <row r="695">
      <c r="A695" s="4"/>
      <c r="B695" s="12"/>
      <c r="C695" s="12"/>
      <c r="D695" s="12"/>
      <c r="E695" s="12"/>
      <c r="F695" s="13"/>
      <c r="G695" s="12"/>
    </row>
    <row r="696">
      <c r="A696" s="4"/>
      <c r="B696" s="12"/>
      <c r="C696" s="12"/>
      <c r="D696" s="12"/>
      <c r="E696" s="12"/>
      <c r="F696" s="13"/>
      <c r="G696" s="12"/>
    </row>
    <row r="697">
      <c r="A697" s="4"/>
      <c r="B697" s="12"/>
      <c r="C697" s="12"/>
      <c r="D697" s="12"/>
      <c r="E697" s="12"/>
      <c r="F697" s="13"/>
      <c r="G697" s="12"/>
    </row>
    <row r="698">
      <c r="A698" s="4"/>
      <c r="B698" s="12"/>
      <c r="C698" s="12"/>
      <c r="D698" s="12"/>
      <c r="E698" s="12"/>
      <c r="F698" s="13"/>
      <c r="G698" s="12"/>
    </row>
    <row r="699">
      <c r="A699" s="4"/>
      <c r="B699" s="12"/>
      <c r="C699" s="12"/>
      <c r="D699" s="12"/>
      <c r="E699" s="12"/>
      <c r="F699" s="13"/>
      <c r="G699" s="12"/>
    </row>
    <row r="700">
      <c r="A700" s="4"/>
      <c r="B700" s="12"/>
      <c r="C700" s="12"/>
      <c r="D700" s="12"/>
      <c r="E700" s="12"/>
      <c r="F700" s="13"/>
      <c r="G700" s="12"/>
    </row>
    <row r="701">
      <c r="A701" s="4"/>
      <c r="B701" s="12"/>
      <c r="C701" s="12"/>
      <c r="D701" s="12"/>
      <c r="E701" s="12"/>
      <c r="F701" s="13"/>
      <c r="G701" s="12"/>
    </row>
    <row r="702">
      <c r="A702" s="4"/>
      <c r="B702" s="12"/>
      <c r="C702" s="12"/>
      <c r="D702" s="12"/>
      <c r="E702" s="12"/>
      <c r="F702" s="13"/>
      <c r="G702" s="12"/>
    </row>
    <row r="703">
      <c r="A703" s="4"/>
      <c r="B703" s="12"/>
      <c r="C703" s="12"/>
      <c r="D703" s="12"/>
      <c r="E703" s="12"/>
      <c r="F703" s="13"/>
      <c r="G703" s="12"/>
    </row>
    <row r="704">
      <c r="A704" s="4"/>
      <c r="B704" s="12"/>
      <c r="C704" s="12"/>
      <c r="D704" s="12"/>
      <c r="E704" s="12"/>
      <c r="F704" s="13"/>
      <c r="G704" s="12"/>
    </row>
    <row r="705">
      <c r="A705" s="4"/>
      <c r="B705" s="12"/>
      <c r="C705" s="12"/>
      <c r="D705" s="12"/>
      <c r="E705" s="12"/>
      <c r="F705" s="13"/>
      <c r="G705" s="12"/>
    </row>
    <row r="706">
      <c r="A706" s="4"/>
      <c r="B706" s="12"/>
      <c r="C706" s="12"/>
      <c r="D706" s="12"/>
      <c r="E706" s="12"/>
      <c r="F706" s="13"/>
      <c r="G706" s="12"/>
    </row>
    <row r="707">
      <c r="A707" s="4"/>
      <c r="B707" s="12"/>
      <c r="C707" s="12"/>
      <c r="D707" s="12"/>
      <c r="E707" s="12"/>
      <c r="F707" s="13"/>
      <c r="G707" s="12"/>
    </row>
    <row r="708">
      <c r="A708" s="4"/>
      <c r="B708" s="12"/>
      <c r="C708" s="12"/>
      <c r="D708" s="12"/>
      <c r="E708" s="12"/>
      <c r="F708" s="13"/>
      <c r="G708" s="12"/>
    </row>
    <row r="709">
      <c r="A709" s="4"/>
      <c r="B709" s="12"/>
      <c r="C709" s="12"/>
      <c r="D709" s="12"/>
      <c r="E709" s="12"/>
      <c r="F709" s="13"/>
      <c r="G709" s="12"/>
    </row>
    <row r="710">
      <c r="A710" s="4"/>
      <c r="B710" s="12"/>
      <c r="C710" s="12"/>
      <c r="D710" s="12"/>
      <c r="E710" s="12"/>
      <c r="F710" s="13"/>
      <c r="G710" s="12"/>
    </row>
    <row r="711">
      <c r="A711" s="4"/>
      <c r="B711" s="12"/>
      <c r="C711" s="12"/>
      <c r="D711" s="12"/>
      <c r="E711" s="12"/>
      <c r="F711" s="13"/>
      <c r="G711" s="12"/>
    </row>
    <row r="712">
      <c r="A712" s="4"/>
      <c r="B712" s="12"/>
      <c r="C712" s="12"/>
      <c r="D712" s="12"/>
      <c r="E712" s="12"/>
      <c r="F712" s="13"/>
      <c r="G712" s="12"/>
    </row>
    <row r="713">
      <c r="A713" s="4"/>
      <c r="B713" s="12"/>
      <c r="C713" s="12"/>
      <c r="D713" s="12"/>
      <c r="E713" s="12"/>
      <c r="F713" s="13"/>
      <c r="G713" s="12"/>
    </row>
    <row r="714">
      <c r="A714" s="4"/>
      <c r="B714" s="12"/>
      <c r="C714" s="12"/>
      <c r="D714" s="12"/>
      <c r="E714" s="12"/>
      <c r="F714" s="13"/>
      <c r="G714" s="12"/>
    </row>
    <row r="715">
      <c r="A715" s="4"/>
      <c r="B715" s="12"/>
      <c r="C715" s="12"/>
      <c r="D715" s="12"/>
      <c r="E715" s="12"/>
      <c r="F715" s="13"/>
      <c r="G715" s="12"/>
    </row>
    <row r="716">
      <c r="A716" s="4"/>
      <c r="B716" s="12"/>
      <c r="C716" s="12"/>
      <c r="D716" s="12"/>
      <c r="E716" s="12"/>
      <c r="F716" s="13"/>
      <c r="G716" s="12"/>
    </row>
    <row r="717">
      <c r="A717" s="4"/>
      <c r="B717" s="12"/>
      <c r="C717" s="12"/>
      <c r="D717" s="12"/>
      <c r="E717" s="12"/>
      <c r="F717" s="13"/>
      <c r="G717" s="12"/>
    </row>
    <row r="718">
      <c r="A718" s="4"/>
      <c r="B718" s="12"/>
      <c r="C718" s="12"/>
      <c r="D718" s="12"/>
      <c r="E718" s="12"/>
      <c r="F718" s="13"/>
      <c r="G718" s="12"/>
    </row>
    <row r="719">
      <c r="A719" s="4"/>
      <c r="B719" s="12"/>
      <c r="C719" s="12"/>
      <c r="D719" s="12"/>
      <c r="E719" s="12"/>
      <c r="F719" s="13"/>
      <c r="G719" s="12"/>
    </row>
    <row r="720">
      <c r="A720" s="4"/>
      <c r="B720" s="12"/>
      <c r="C720" s="12"/>
      <c r="D720" s="12"/>
      <c r="E720" s="12"/>
      <c r="F720" s="13"/>
      <c r="G720" s="12"/>
    </row>
    <row r="721">
      <c r="A721" s="4"/>
      <c r="B721" s="12"/>
      <c r="C721" s="12"/>
      <c r="D721" s="12"/>
      <c r="E721" s="12"/>
      <c r="F721" s="13"/>
      <c r="G721" s="12"/>
    </row>
    <row r="722">
      <c r="A722" s="4"/>
      <c r="B722" s="12"/>
      <c r="C722" s="12"/>
      <c r="D722" s="12"/>
      <c r="E722" s="12"/>
      <c r="F722" s="13"/>
      <c r="G722" s="12"/>
    </row>
    <row r="723">
      <c r="A723" s="4"/>
      <c r="B723" s="12"/>
      <c r="C723" s="12"/>
      <c r="D723" s="12"/>
      <c r="E723" s="12"/>
      <c r="F723" s="13"/>
      <c r="G723" s="12"/>
    </row>
    <row r="724">
      <c r="A724" s="4"/>
      <c r="B724" s="12"/>
      <c r="C724" s="12"/>
      <c r="D724" s="12"/>
      <c r="E724" s="12"/>
      <c r="F724" s="13"/>
      <c r="G724" s="12"/>
    </row>
    <row r="725">
      <c r="A725" s="4"/>
      <c r="B725" s="12"/>
      <c r="C725" s="12"/>
      <c r="D725" s="12"/>
      <c r="E725" s="12"/>
      <c r="F725" s="13"/>
      <c r="G725" s="12"/>
    </row>
    <row r="726">
      <c r="A726" s="4"/>
      <c r="B726" s="12"/>
      <c r="C726" s="12"/>
      <c r="D726" s="12"/>
      <c r="E726" s="12"/>
      <c r="F726" s="13"/>
      <c r="G726" s="12"/>
    </row>
    <row r="727">
      <c r="A727" s="4"/>
      <c r="B727" s="12"/>
      <c r="C727" s="12"/>
      <c r="D727" s="12"/>
      <c r="E727" s="12"/>
      <c r="F727" s="13"/>
      <c r="G727" s="12"/>
    </row>
    <row r="728">
      <c r="A728" s="4"/>
      <c r="B728" s="12"/>
      <c r="C728" s="12"/>
      <c r="D728" s="12"/>
      <c r="E728" s="12"/>
      <c r="F728" s="13"/>
      <c r="G728" s="12"/>
    </row>
    <row r="729">
      <c r="A729" s="4"/>
      <c r="B729" s="12"/>
      <c r="C729" s="12"/>
      <c r="D729" s="12"/>
      <c r="E729" s="12"/>
      <c r="F729" s="13"/>
      <c r="G729" s="12"/>
    </row>
    <row r="730">
      <c r="A730" s="4"/>
      <c r="B730" s="12"/>
      <c r="C730" s="12"/>
      <c r="D730" s="12"/>
      <c r="E730" s="12"/>
      <c r="F730" s="13"/>
      <c r="G730" s="12"/>
    </row>
    <row r="731">
      <c r="A731" s="4"/>
      <c r="B731" s="12"/>
      <c r="C731" s="12"/>
      <c r="D731" s="12"/>
      <c r="E731" s="12"/>
      <c r="F731" s="13"/>
      <c r="G731" s="12"/>
    </row>
    <row r="732">
      <c r="A732" s="4"/>
      <c r="B732" s="12"/>
      <c r="C732" s="12"/>
      <c r="D732" s="12"/>
      <c r="E732" s="12"/>
      <c r="F732" s="13"/>
      <c r="G732" s="12"/>
    </row>
    <row r="733">
      <c r="A733" s="4"/>
      <c r="B733" s="12"/>
      <c r="C733" s="12"/>
      <c r="D733" s="12"/>
      <c r="E733" s="12"/>
      <c r="F733" s="13"/>
      <c r="G733" s="12"/>
    </row>
    <row r="734">
      <c r="A734" s="4"/>
      <c r="B734" s="12"/>
      <c r="C734" s="12"/>
      <c r="D734" s="12"/>
      <c r="E734" s="12"/>
      <c r="F734" s="13"/>
      <c r="G734" s="12"/>
    </row>
    <row r="735">
      <c r="A735" s="4"/>
      <c r="B735" s="12"/>
      <c r="C735" s="12"/>
      <c r="D735" s="12"/>
      <c r="E735" s="12"/>
      <c r="F735" s="13"/>
      <c r="G735" s="12"/>
    </row>
    <row r="736">
      <c r="A736" s="4"/>
      <c r="B736" s="12"/>
      <c r="C736" s="12"/>
      <c r="D736" s="12"/>
      <c r="E736" s="12"/>
      <c r="F736" s="13"/>
      <c r="G736" s="12"/>
    </row>
    <row r="737">
      <c r="A737" s="4"/>
      <c r="B737" s="12"/>
      <c r="C737" s="12"/>
      <c r="D737" s="12"/>
      <c r="E737" s="12"/>
      <c r="F737" s="13"/>
      <c r="G737" s="12"/>
    </row>
    <row r="738">
      <c r="A738" s="4"/>
      <c r="B738" s="12"/>
      <c r="C738" s="12"/>
      <c r="D738" s="12"/>
      <c r="E738" s="12"/>
      <c r="F738" s="13"/>
      <c r="G738" s="12"/>
    </row>
    <row r="739">
      <c r="A739" s="4"/>
      <c r="B739" s="12"/>
      <c r="C739" s="12"/>
      <c r="D739" s="12"/>
      <c r="E739" s="12"/>
      <c r="F739" s="13"/>
      <c r="G739" s="12"/>
    </row>
    <row r="740">
      <c r="A740" s="4"/>
      <c r="B740" s="12"/>
      <c r="C740" s="12"/>
      <c r="D740" s="12"/>
      <c r="E740" s="12"/>
      <c r="F740" s="13"/>
      <c r="G740" s="12"/>
    </row>
    <row r="741">
      <c r="A741" s="4"/>
      <c r="B741" s="12"/>
      <c r="C741" s="12"/>
      <c r="D741" s="12"/>
      <c r="E741" s="12"/>
      <c r="F741" s="13"/>
      <c r="G741" s="12"/>
    </row>
    <row r="742">
      <c r="A742" s="4"/>
      <c r="B742" s="12"/>
      <c r="C742" s="12"/>
      <c r="D742" s="12"/>
      <c r="E742" s="12"/>
      <c r="F742" s="13"/>
      <c r="G742" s="12"/>
    </row>
    <row r="743">
      <c r="A743" s="4"/>
      <c r="B743" s="12"/>
      <c r="C743" s="12"/>
      <c r="D743" s="12"/>
      <c r="E743" s="12"/>
      <c r="F743" s="13"/>
      <c r="G743" s="12"/>
    </row>
    <row r="744">
      <c r="A744" s="4"/>
      <c r="B744" s="12"/>
      <c r="C744" s="12"/>
      <c r="D744" s="12"/>
      <c r="E744" s="12"/>
      <c r="F744" s="13"/>
      <c r="G744" s="12"/>
    </row>
    <row r="745">
      <c r="A745" s="4"/>
      <c r="B745" s="12"/>
      <c r="C745" s="12"/>
      <c r="D745" s="12"/>
      <c r="E745" s="12"/>
      <c r="F745" s="13"/>
      <c r="G745" s="12"/>
    </row>
    <row r="746">
      <c r="A746" s="4"/>
      <c r="B746" s="12"/>
      <c r="C746" s="12"/>
      <c r="D746" s="12"/>
      <c r="E746" s="12"/>
      <c r="F746" s="13"/>
      <c r="G746" s="12"/>
    </row>
    <row r="747">
      <c r="A747" s="4"/>
      <c r="B747" s="12"/>
      <c r="C747" s="12"/>
      <c r="D747" s="12"/>
      <c r="E747" s="12"/>
      <c r="F747" s="13"/>
      <c r="G747" s="12"/>
    </row>
    <row r="748">
      <c r="A748" s="4"/>
      <c r="B748" s="12"/>
      <c r="C748" s="12"/>
      <c r="D748" s="12"/>
      <c r="E748" s="12"/>
      <c r="F748" s="13"/>
      <c r="G748" s="12"/>
    </row>
    <row r="749">
      <c r="A749" s="4"/>
      <c r="B749" s="12"/>
      <c r="C749" s="12"/>
      <c r="D749" s="12"/>
      <c r="E749" s="12"/>
      <c r="F749" s="13"/>
      <c r="G749" s="12"/>
    </row>
    <row r="750">
      <c r="A750" s="4"/>
      <c r="B750" s="12"/>
      <c r="C750" s="12"/>
      <c r="D750" s="12"/>
      <c r="E750" s="12"/>
      <c r="F750" s="13"/>
      <c r="G750" s="12"/>
    </row>
    <row r="751">
      <c r="A751" s="4"/>
      <c r="B751" s="12"/>
      <c r="C751" s="12"/>
      <c r="D751" s="12"/>
      <c r="E751" s="12"/>
      <c r="F751" s="13"/>
      <c r="G751" s="12"/>
    </row>
    <row r="752">
      <c r="A752" s="4"/>
      <c r="B752" s="12"/>
      <c r="C752" s="12"/>
      <c r="D752" s="12"/>
      <c r="E752" s="12"/>
      <c r="F752" s="13"/>
      <c r="G752" s="12"/>
    </row>
    <row r="753">
      <c r="A753" s="4"/>
      <c r="B753" s="12"/>
      <c r="C753" s="12"/>
      <c r="D753" s="12"/>
      <c r="E753" s="12"/>
      <c r="F753" s="13"/>
      <c r="G753" s="12"/>
    </row>
    <row r="754">
      <c r="A754" s="4"/>
      <c r="B754" s="12"/>
      <c r="C754" s="12"/>
      <c r="D754" s="12"/>
      <c r="E754" s="12"/>
      <c r="F754" s="13"/>
      <c r="G754" s="12"/>
    </row>
    <row r="755">
      <c r="A755" s="4"/>
      <c r="B755" s="12"/>
      <c r="C755" s="12"/>
      <c r="D755" s="12"/>
      <c r="E755" s="12"/>
      <c r="F755" s="13"/>
      <c r="G755" s="12"/>
    </row>
    <row r="756">
      <c r="A756" s="4"/>
      <c r="B756" s="12"/>
      <c r="C756" s="12"/>
      <c r="D756" s="12"/>
      <c r="E756" s="12"/>
      <c r="F756" s="13"/>
      <c r="G756" s="12"/>
    </row>
    <row r="757">
      <c r="A757" s="4"/>
      <c r="B757" s="12"/>
      <c r="C757" s="12"/>
      <c r="D757" s="12"/>
      <c r="E757" s="12"/>
      <c r="F757" s="13"/>
      <c r="G757" s="12"/>
    </row>
    <row r="758">
      <c r="A758" s="4"/>
      <c r="B758" s="12"/>
      <c r="C758" s="12"/>
      <c r="D758" s="12"/>
      <c r="E758" s="12"/>
      <c r="F758" s="13"/>
      <c r="G758" s="12"/>
    </row>
    <row r="759">
      <c r="A759" s="4"/>
      <c r="B759" s="12"/>
      <c r="C759" s="12"/>
      <c r="D759" s="12"/>
      <c r="E759" s="12"/>
      <c r="F759" s="13"/>
      <c r="G759" s="12"/>
    </row>
    <row r="760">
      <c r="A760" s="4"/>
      <c r="B760" s="12"/>
      <c r="C760" s="12"/>
      <c r="D760" s="12"/>
      <c r="E760" s="12"/>
      <c r="F760" s="13"/>
      <c r="G760" s="12"/>
    </row>
    <row r="761">
      <c r="A761" s="4"/>
      <c r="B761" s="12"/>
      <c r="C761" s="12"/>
      <c r="D761" s="12"/>
      <c r="E761" s="12"/>
      <c r="F761" s="13"/>
      <c r="G761" s="12"/>
    </row>
    <row r="762">
      <c r="A762" s="4"/>
      <c r="B762" s="12"/>
      <c r="C762" s="12"/>
      <c r="D762" s="12"/>
      <c r="E762" s="12"/>
      <c r="F762" s="13"/>
      <c r="G762" s="12"/>
    </row>
    <row r="763">
      <c r="A763" s="4"/>
      <c r="B763" s="12"/>
      <c r="C763" s="12"/>
      <c r="D763" s="12"/>
      <c r="E763" s="12"/>
      <c r="F763" s="13"/>
      <c r="G763" s="12"/>
    </row>
    <row r="764">
      <c r="A764" s="4"/>
      <c r="B764" s="12"/>
      <c r="C764" s="12"/>
      <c r="D764" s="12"/>
      <c r="E764" s="12"/>
      <c r="F764" s="13"/>
      <c r="G764" s="12"/>
    </row>
    <row r="765">
      <c r="A765" s="4"/>
      <c r="B765" s="12"/>
      <c r="C765" s="12"/>
      <c r="D765" s="12"/>
      <c r="E765" s="12"/>
      <c r="F765" s="13"/>
      <c r="G765" s="12"/>
    </row>
    <row r="766">
      <c r="A766" s="4"/>
      <c r="B766" s="12"/>
      <c r="C766" s="12"/>
      <c r="D766" s="12"/>
      <c r="E766" s="12"/>
      <c r="F766" s="13"/>
      <c r="G766" s="12"/>
    </row>
    <row r="767">
      <c r="A767" s="4"/>
      <c r="B767" s="12"/>
      <c r="C767" s="12"/>
      <c r="D767" s="12"/>
      <c r="E767" s="12"/>
      <c r="F767" s="13"/>
      <c r="G767" s="12"/>
    </row>
    <row r="768">
      <c r="A768" s="4"/>
      <c r="B768" s="12"/>
      <c r="C768" s="12"/>
      <c r="D768" s="12"/>
      <c r="E768" s="12"/>
      <c r="F768" s="13"/>
      <c r="G768" s="12"/>
    </row>
    <row r="769">
      <c r="A769" s="4"/>
      <c r="B769" s="12"/>
      <c r="C769" s="12"/>
      <c r="D769" s="12"/>
      <c r="E769" s="12"/>
      <c r="F769" s="13"/>
      <c r="G769" s="12"/>
    </row>
    <row r="770">
      <c r="A770" s="4"/>
      <c r="B770" s="12"/>
      <c r="C770" s="12"/>
      <c r="D770" s="12"/>
      <c r="E770" s="12"/>
      <c r="F770" s="13"/>
      <c r="G770" s="12"/>
    </row>
    <row r="771">
      <c r="A771" s="4"/>
      <c r="B771" s="12"/>
      <c r="C771" s="12"/>
      <c r="D771" s="12"/>
      <c r="E771" s="12"/>
      <c r="F771" s="13"/>
      <c r="G771" s="12"/>
    </row>
    <row r="772">
      <c r="A772" s="4"/>
      <c r="B772" s="12"/>
      <c r="C772" s="12"/>
      <c r="D772" s="12"/>
      <c r="E772" s="12"/>
      <c r="F772" s="13"/>
      <c r="G772" s="12"/>
    </row>
    <row r="773">
      <c r="A773" s="4"/>
      <c r="B773" s="12"/>
      <c r="C773" s="12"/>
      <c r="D773" s="12"/>
      <c r="E773" s="12"/>
      <c r="F773" s="13"/>
      <c r="G773" s="12"/>
    </row>
    <row r="774">
      <c r="A774" s="4"/>
      <c r="B774" s="12"/>
      <c r="C774" s="12"/>
      <c r="D774" s="12"/>
      <c r="E774" s="12"/>
      <c r="F774" s="13"/>
      <c r="G774" s="12"/>
    </row>
    <row r="775">
      <c r="A775" s="4"/>
      <c r="B775" s="12"/>
      <c r="C775" s="12"/>
      <c r="D775" s="12"/>
      <c r="E775" s="12"/>
      <c r="F775" s="13"/>
      <c r="G775" s="12"/>
    </row>
    <row r="776">
      <c r="A776" s="4"/>
      <c r="B776" s="12"/>
      <c r="C776" s="12"/>
      <c r="D776" s="12"/>
      <c r="E776" s="12"/>
      <c r="F776" s="13"/>
      <c r="G776" s="12"/>
    </row>
    <row r="777">
      <c r="A777" s="4"/>
      <c r="B777" s="12"/>
      <c r="C777" s="12"/>
      <c r="D777" s="12"/>
      <c r="E777" s="12"/>
      <c r="F777" s="13"/>
      <c r="G777" s="12"/>
    </row>
    <row r="778">
      <c r="A778" s="4"/>
      <c r="B778" s="12"/>
      <c r="C778" s="12"/>
      <c r="D778" s="12"/>
      <c r="E778" s="12"/>
      <c r="F778" s="13"/>
      <c r="G778" s="12"/>
    </row>
    <row r="779">
      <c r="A779" s="4"/>
      <c r="B779" s="12"/>
      <c r="C779" s="12"/>
      <c r="D779" s="12"/>
      <c r="E779" s="12"/>
      <c r="F779" s="13"/>
      <c r="G779" s="12"/>
    </row>
    <row r="780">
      <c r="A780" s="4"/>
      <c r="B780" s="12"/>
      <c r="C780" s="12"/>
      <c r="D780" s="12"/>
      <c r="E780" s="12"/>
      <c r="F780" s="13"/>
      <c r="G780" s="12"/>
    </row>
    <row r="781">
      <c r="A781" s="4"/>
      <c r="B781" s="12"/>
      <c r="C781" s="12"/>
      <c r="D781" s="12"/>
      <c r="E781" s="12"/>
      <c r="F781" s="13"/>
      <c r="G781" s="12"/>
    </row>
    <row r="782">
      <c r="A782" s="4"/>
      <c r="B782" s="12"/>
      <c r="C782" s="12"/>
      <c r="D782" s="12"/>
      <c r="E782" s="12"/>
      <c r="F782" s="13"/>
      <c r="G782" s="12"/>
    </row>
    <row r="783">
      <c r="A783" s="4"/>
      <c r="B783" s="12"/>
      <c r="C783" s="12"/>
      <c r="D783" s="12"/>
      <c r="E783" s="12"/>
      <c r="F783" s="13"/>
      <c r="G783" s="12"/>
    </row>
    <row r="784">
      <c r="A784" s="4"/>
      <c r="B784" s="12"/>
      <c r="C784" s="12"/>
      <c r="D784" s="12"/>
      <c r="E784" s="12"/>
      <c r="F784" s="13"/>
      <c r="G784" s="12"/>
    </row>
    <row r="785">
      <c r="A785" s="4"/>
      <c r="B785" s="12"/>
      <c r="C785" s="12"/>
      <c r="D785" s="12"/>
      <c r="E785" s="12"/>
      <c r="F785" s="13"/>
      <c r="G785" s="12"/>
    </row>
    <row r="786">
      <c r="A786" s="4"/>
      <c r="B786" s="12"/>
      <c r="C786" s="12"/>
      <c r="D786" s="12"/>
      <c r="E786" s="12"/>
      <c r="F786" s="13"/>
      <c r="G786" s="12"/>
    </row>
    <row r="787">
      <c r="A787" s="4"/>
      <c r="B787" s="12"/>
      <c r="C787" s="12"/>
      <c r="D787" s="12"/>
      <c r="E787" s="12"/>
      <c r="F787" s="13"/>
      <c r="G787" s="12"/>
    </row>
    <row r="788">
      <c r="A788" s="4"/>
      <c r="B788" s="12"/>
      <c r="C788" s="12"/>
      <c r="D788" s="12"/>
      <c r="E788" s="12"/>
      <c r="F788" s="13"/>
      <c r="G788" s="12"/>
    </row>
    <row r="789">
      <c r="A789" s="4"/>
      <c r="B789" s="12"/>
      <c r="C789" s="12"/>
      <c r="D789" s="12"/>
      <c r="E789" s="12"/>
      <c r="F789" s="13"/>
      <c r="G789" s="12"/>
    </row>
    <row r="790">
      <c r="A790" s="4"/>
      <c r="B790" s="12"/>
      <c r="C790" s="12"/>
      <c r="D790" s="12"/>
      <c r="E790" s="12"/>
      <c r="F790" s="13"/>
      <c r="G790" s="12"/>
    </row>
    <row r="791">
      <c r="A791" s="4"/>
      <c r="B791" s="12"/>
      <c r="C791" s="12"/>
      <c r="D791" s="12"/>
      <c r="E791" s="12"/>
      <c r="F791" s="13"/>
      <c r="G791" s="12"/>
    </row>
    <row r="792">
      <c r="A792" s="4"/>
      <c r="B792" s="12"/>
      <c r="C792" s="12"/>
      <c r="D792" s="12"/>
      <c r="E792" s="12"/>
      <c r="F792" s="13"/>
      <c r="G792" s="12"/>
    </row>
    <row r="793">
      <c r="A793" s="4"/>
      <c r="B793" s="12"/>
      <c r="C793" s="12"/>
      <c r="D793" s="12"/>
      <c r="E793" s="12"/>
      <c r="F793" s="13"/>
      <c r="G793" s="12"/>
    </row>
    <row r="794">
      <c r="A794" s="4"/>
      <c r="B794" s="12"/>
      <c r="C794" s="12"/>
      <c r="D794" s="12"/>
      <c r="E794" s="12"/>
      <c r="F794" s="13"/>
      <c r="G794" s="12"/>
    </row>
    <row r="795">
      <c r="A795" s="4"/>
      <c r="B795" s="12"/>
      <c r="C795" s="12"/>
      <c r="D795" s="12"/>
      <c r="E795" s="12"/>
      <c r="F795" s="13"/>
      <c r="G795" s="12"/>
    </row>
    <row r="796">
      <c r="A796" s="4"/>
      <c r="B796" s="12"/>
      <c r="C796" s="12"/>
      <c r="D796" s="12"/>
      <c r="E796" s="12"/>
      <c r="F796" s="13"/>
      <c r="G796" s="12"/>
    </row>
    <row r="797">
      <c r="A797" s="4"/>
      <c r="B797" s="12"/>
      <c r="C797" s="12"/>
      <c r="D797" s="12"/>
      <c r="E797" s="12"/>
      <c r="F797" s="13"/>
      <c r="G797" s="12"/>
    </row>
    <row r="798">
      <c r="A798" s="4"/>
      <c r="B798" s="12"/>
      <c r="C798" s="12"/>
      <c r="D798" s="12"/>
      <c r="E798" s="12"/>
      <c r="F798" s="13"/>
      <c r="G798" s="12"/>
    </row>
    <row r="799">
      <c r="A799" s="4"/>
      <c r="B799" s="12"/>
      <c r="C799" s="12"/>
      <c r="D799" s="12"/>
      <c r="E799" s="12"/>
      <c r="F799" s="13"/>
      <c r="G799" s="12"/>
    </row>
    <row r="800">
      <c r="A800" s="4"/>
      <c r="B800" s="12"/>
      <c r="C800" s="12"/>
      <c r="D800" s="12"/>
      <c r="E800" s="12"/>
      <c r="F800" s="13"/>
      <c r="G800" s="12"/>
    </row>
    <row r="801">
      <c r="A801" s="4"/>
      <c r="B801" s="12"/>
      <c r="C801" s="12"/>
      <c r="D801" s="12"/>
      <c r="E801" s="12"/>
      <c r="F801" s="13"/>
      <c r="G801" s="12"/>
    </row>
    <row r="802">
      <c r="A802" s="4"/>
      <c r="B802" s="12"/>
      <c r="C802" s="12"/>
      <c r="D802" s="12"/>
      <c r="E802" s="12"/>
      <c r="F802" s="13"/>
      <c r="G802" s="12"/>
    </row>
    <row r="803">
      <c r="A803" s="4"/>
      <c r="B803" s="12"/>
      <c r="C803" s="12"/>
      <c r="D803" s="12"/>
      <c r="E803" s="12"/>
      <c r="F803" s="13"/>
      <c r="G803" s="12"/>
    </row>
    <row r="804">
      <c r="A804" s="4"/>
      <c r="B804" s="12"/>
      <c r="C804" s="12"/>
      <c r="D804" s="12"/>
      <c r="E804" s="12"/>
      <c r="F804" s="13"/>
      <c r="G804" s="12"/>
    </row>
    <row r="805">
      <c r="A805" s="4"/>
      <c r="B805" s="12"/>
      <c r="C805" s="12"/>
      <c r="D805" s="12"/>
      <c r="E805" s="12"/>
      <c r="F805" s="13"/>
      <c r="G805" s="12"/>
    </row>
    <row r="806">
      <c r="A806" s="4"/>
      <c r="B806" s="12"/>
      <c r="C806" s="12"/>
      <c r="D806" s="12"/>
      <c r="E806" s="12"/>
      <c r="F806" s="13"/>
      <c r="G806" s="12"/>
    </row>
    <row r="807">
      <c r="A807" s="4"/>
      <c r="B807" s="12"/>
      <c r="C807" s="12"/>
      <c r="D807" s="12"/>
      <c r="E807" s="12"/>
      <c r="F807" s="13"/>
      <c r="G807" s="12"/>
    </row>
    <row r="808">
      <c r="A808" s="4"/>
      <c r="B808" s="12"/>
      <c r="C808" s="12"/>
      <c r="D808" s="12"/>
      <c r="E808" s="12"/>
      <c r="F808" s="13"/>
      <c r="G808" s="12"/>
    </row>
    <row r="809">
      <c r="A809" s="4"/>
      <c r="B809" s="12"/>
      <c r="C809" s="12"/>
      <c r="D809" s="12"/>
      <c r="E809" s="12"/>
      <c r="F809" s="13"/>
      <c r="G809" s="12"/>
    </row>
    <row r="810">
      <c r="A810" s="4"/>
      <c r="B810" s="12"/>
      <c r="C810" s="12"/>
      <c r="D810" s="12"/>
      <c r="E810" s="12"/>
      <c r="F810" s="13"/>
      <c r="G810" s="12"/>
    </row>
    <row r="811">
      <c r="A811" s="4"/>
      <c r="B811" s="12"/>
      <c r="C811" s="12"/>
      <c r="D811" s="12"/>
      <c r="E811" s="12"/>
      <c r="F811" s="13"/>
      <c r="G811" s="12"/>
    </row>
    <row r="812">
      <c r="A812" s="4"/>
      <c r="B812" s="12"/>
      <c r="C812" s="12"/>
      <c r="D812" s="12"/>
      <c r="E812" s="12"/>
      <c r="F812" s="13"/>
      <c r="G812" s="12"/>
    </row>
    <row r="813">
      <c r="A813" s="4"/>
      <c r="B813" s="12"/>
      <c r="C813" s="12"/>
      <c r="D813" s="12"/>
      <c r="E813" s="12"/>
      <c r="F813" s="13"/>
      <c r="G813" s="12"/>
    </row>
    <row r="814">
      <c r="A814" s="4"/>
      <c r="B814" s="12"/>
      <c r="C814" s="12"/>
      <c r="D814" s="12"/>
      <c r="E814" s="12"/>
      <c r="F814" s="13"/>
      <c r="G814" s="12"/>
    </row>
    <row r="815">
      <c r="A815" s="4"/>
      <c r="B815" s="12"/>
      <c r="C815" s="12"/>
      <c r="D815" s="12"/>
      <c r="E815" s="12"/>
      <c r="F815" s="13"/>
      <c r="G815" s="12"/>
    </row>
    <row r="816">
      <c r="A816" s="4"/>
      <c r="B816" s="12"/>
      <c r="C816" s="12"/>
      <c r="D816" s="12"/>
      <c r="E816" s="12"/>
      <c r="F816" s="13"/>
      <c r="G816" s="12"/>
    </row>
    <row r="817">
      <c r="A817" s="4"/>
      <c r="B817" s="12"/>
      <c r="C817" s="12"/>
      <c r="D817" s="12"/>
      <c r="E817" s="12"/>
      <c r="F817" s="13"/>
      <c r="G817" s="12"/>
    </row>
    <row r="818">
      <c r="A818" s="4"/>
      <c r="B818" s="12"/>
      <c r="C818" s="12"/>
      <c r="D818" s="12"/>
      <c r="E818" s="12"/>
      <c r="F818" s="13"/>
      <c r="G818" s="12"/>
    </row>
    <row r="819">
      <c r="A819" s="4"/>
      <c r="B819" s="12"/>
      <c r="C819" s="12"/>
      <c r="D819" s="12"/>
      <c r="E819" s="12"/>
      <c r="F819" s="13"/>
      <c r="G819" s="12"/>
    </row>
    <row r="820">
      <c r="A820" s="4"/>
      <c r="B820" s="12"/>
      <c r="C820" s="12"/>
      <c r="D820" s="12"/>
      <c r="E820" s="12"/>
      <c r="F820" s="13"/>
      <c r="G820" s="12"/>
    </row>
    <row r="821">
      <c r="A821" s="4"/>
      <c r="B821" s="12"/>
      <c r="C821" s="12"/>
      <c r="D821" s="12"/>
      <c r="E821" s="12"/>
      <c r="F821" s="13"/>
      <c r="G821" s="12"/>
    </row>
    <row r="822">
      <c r="A822" s="4"/>
      <c r="B822" s="12"/>
      <c r="C822" s="12"/>
      <c r="D822" s="12"/>
      <c r="E822" s="12"/>
      <c r="F822" s="13"/>
      <c r="G822" s="12"/>
    </row>
    <row r="823">
      <c r="A823" s="4"/>
      <c r="B823" s="12"/>
      <c r="C823" s="12"/>
      <c r="D823" s="12"/>
      <c r="E823" s="12"/>
      <c r="F823" s="13"/>
      <c r="G823" s="12"/>
    </row>
    <row r="824">
      <c r="A824" s="4"/>
      <c r="B824" s="12"/>
      <c r="C824" s="12"/>
      <c r="D824" s="12"/>
      <c r="E824" s="12"/>
      <c r="F824" s="13"/>
      <c r="G824" s="12"/>
    </row>
    <row r="825">
      <c r="A825" s="4"/>
      <c r="B825" s="12"/>
      <c r="C825" s="12"/>
      <c r="D825" s="12"/>
      <c r="E825" s="12"/>
      <c r="F825" s="13"/>
      <c r="G825" s="12"/>
    </row>
    <row r="826">
      <c r="A826" s="4"/>
      <c r="B826" s="12"/>
      <c r="C826" s="12"/>
      <c r="D826" s="12"/>
      <c r="E826" s="12"/>
      <c r="F826" s="13"/>
      <c r="G826" s="12"/>
    </row>
    <row r="827">
      <c r="A827" s="4"/>
      <c r="B827" s="12"/>
      <c r="C827" s="12"/>
      <c r="D827" s="12"/>
      <c r="E827" s="12"/>
      <c r="F827" s="13"/>
      <c r="G827" s="12"/>
    </row>
    <row r="828">
      <c r="A828" s="4"/>
      <c r="B828" s="12"/>
      <c r="C828" s="12"/>
      <c r="D828" s="12"/>
      <c r="E828" s="12"/>
      <c r="F828" s="13"/>
      <c r="G828" s="12"/>
    </row>
    <row r="829">
      <c r="A829" s="4"/>
      <c r="B829" s="12"/>
      <c r="C829" s="12"/>
      <c r="D829" s="12"/>
      <c r="E829" s="12"/>
      <c r="F829" s="13"/>
      <c r="G829" s="12"/>
    </row>
    <row r="830">
      <c r="A830" s="4"/>
      <c r="B830" s="12"/>
      <c r="C830" s="12"/>
      <c r="D830" s="12"/>
      <c r="E830" s="12"/>
      <c r="F830" s="13"/>
      <c r="G830" s="12"/>
    </row>
    <row r="831">
      <c r="A831" s="4"/>
      <c r="B831" s="12"/>
      <c r="C831" s="12"/>
      <c r="D831" s="12"/>
      <c r="E831" s="12"/>
      <c r="F831" s="13"/>
      <c r="G831" s="12"/>
    </row>
    <row r="832">
      <c r="A832" s="4"/>
      <c r="B832" s="12"/>
      <c r="C832" s="12"/>
      <c r="D832" s="12"/>
      <c r="E832" s="12"/>
      <c r="F832" s="13"/>
      <c r="G832" s="12"/>
    </row>
    <row r="833">
      <c r="A833" s="4"/>
      <c r="B833" s="12"/>
      <c r="C833" s="12"/>
      <c r="D833" s="12"/>
      <c r="E833" s="12"/>
      <c r="F833" s="13"/>
      <c r="G833" s="12"/>
    </row>
    <row r="834">
      <c r="A834" s="4"/>
      <c r="B834" s="12"/>
      <c r="C834" s="12"/>
      <c r="D834" s="12"/>
      <c r="E834" s="12"/>
      <c r="F834" s="13"/>
      <c r="G834" s="12"/>
    </row>
    <row r="835">
      <c r="A835" s="4"/>
      <c r="B835" s="12"/>
      <c r="C835" s="12"/>
      <c r="D835" s="12"/>
      <c r="E835" s="12"/>
      <c r="F835" s="13"/>
      <c r="G835" s="12"/>
    </row>
    <row r="836">
      <c r="A836" s="4"/>
      <c r="B836" s="12"/>
      <c r="C836" s="12"/>
      <c r="D836" s="12"/>
      <c r="E836" s="12"/>
      <c r="F836" s="13"/>
      <c r="G836" s="12"/>
    </row>
    <row r="837">
      <c r="A837" s="4"/>
      <c r="B837" s="12"/>
      <c r="C837" s="12"/>
      <c r="D837" s="12"/>
      <c r="E837" s="12"/>
      <c r="F837" s="13"/>
      <c r="G837" s="12"/>
    </row>
    <row r="838">
      <c r="A838" s="4"/>
      <c r="B838" s="12"/>
      <c r="C838" s="12"/>
      <c r="D838" s="12"/>
      <c r="E838" s="12"/>
      <c r="F838" s="13"/>
      <c r="G838" s="12"/>
    </row>
    <row r="839">
      <c r="A839" s="4"/>
      <c r="B839" s="12"/>
      <c r="C839" s="12"/>
      <c r="D839" s="12"/>
      <c r="E839" s="12"/>
      <c r="F839" s="13"/>
      <c r="G839" s="12"/>
    </row>
    <row r="840">
      <c r="A840" s="4"/>
      <c r="B840" s="12"/>
      <c r="C840" s="12"/>
      <c r="D840" s="12"/>
      <c r="E840" s="12"/>
      <c r="F840" s="13"/>
      <c r="G840" s="12"/>
    </row>
    <row r="841">
      <c r="A841" s="4"/>
      <c r="B841" s="12"/>
      <c r="C841" s="12"/>
      <c r="D841" s="12"/>
      <c r="E841" s="12"/>
      <c r="F841" s="13"/>
      <c r="G841" s="12"/>
    </row>
    <row r="842">
      <c r="A842" s="4"/>
      <c r="B842" s="12"/>
      <c r="C842" s="12"/>
      <c r="D842" s="12"/>
      <c r="E842" s="12"/>
      <c r="F842" s="13"/>
      <c r="G842" s="12"/>
    </row>
    <row r="843">
      <c r="A843" s="4"/>
      <c r="B843" s="12"/>
      <c r="C843" s="12"/>
      <c r="D843" s="12"/>
      <c r="E843" s="12"/>
      <c r="F843" s="13"/>
      <c r="G843" s="12"/>
    </row>
    <row r="844">
      <c r="A844" s="4"/>
      <c r="B844" s="12"/>
      <c r="C844" s="12"/>
      <c r="D844" s="12"/>
      <c r="E844" s="12"/>
      <c r="F844" s="13"/>
      <c r="G844" s="12"/>
    </row>
    <row r="845">
      <c r="A845" s="4"/>
      <c r="B845" s="12"/>
      <c r="C845" s="12"/>
      <c r="D845" s="12"/>
      <c r="E845" s="12"/>
      <c r="F845" s="13"/>
      <c r="G845" s="12"/>
    </row>
    <row r="846">
      <c r="A846" s="4"/>
      <c r="B846" s="12"/>
      <c r="C846" s="12"/>
      <c r="D846" s="12"/>
      <c r="E846" s="12"/>
      <c r="F846" s="13"/>
      <c r="G846" s="12"/>
    </row>
    <row r="847">
      <c r="A847" s="4"/>
      <c r="B847" s="12"/>
      <c r="C847" s="12"/>
      <c r="D847" s="12"/>
      <c r="E847" s="12"/>
      <c r="F847" s="13"/>
      <c r="G847" s="12"/>
    </row>
    <row r="848">
      <c r="A848" s="4"/>
      <c r="B848" s="12"/>
      <c r="C848" s="12"/>
      <c r="D848" s="12"/>
      <c r="E848" s="12"/>
      <c r="F848" s="13"/>
      <c r="G848" s="12"/>
    </row>
    <row r="849">
      <c r="A849" s="4"/>
      <c r="B849" s="12"/>
      <c r="C849" s="12"/>
      <c r="D849" s="12"/>
      <c r="E849" s="12"/>
      <c r="F849" s="13"/>
      <c r="G849" s="12"/>
    </row>
    <row r="850">
      <c r="A850" s="4"/>
      <c r="B850" s="12"/>
      <c r="C850" s="12"/>
      <c r="D850" s="12"/>
      <c r="E850" s="12"/>
      <c r="F850" s="13"/>
      <c r="G850" s="12"/>
    </row>
    <row r="851">
      <c r="A851" s="4"/>
      <c r="B851" s="12"/>
      <c r="C851" s="12"/>
      <c r="D851" s="12"/>
      <c r="E851" s="12"/>
      <c r="F851" s="13"/>
      <c r="G851" s="12"/>
    </row>
    <row r="852">
      <c r="A852" s="4"/>
      <c r="B852" s="12"/>
      <c r="C852" s="12"/>
      <c r="D852" s="12"/>
      <c r="E852" s="12"/>
      <c r="F852" s="13"/>
      <c r="G852" s="12"/>
    </row>
    <row r="853">
      <c r="A853" s="4"/>
      <c r="B853" s="12"/>
      <c r="C853" s="12"/>
      <c r="D853" s="12"/>
      <c r="E853" s="12"/>
      <c r="F853" s="13"/>
      <c r="G853" s="12"/>
    </row>
    <row r="854">
      <c r="A854" s="4"/>
      <c r="B854" s="12"/>
      <c r="C854" s="12"/>
      <c r="D854" s="12"/>
      <c r="E854" s="12"/>
      <c r="F854" s="13"/>
      <c r="G854" s="12"/>
    </row>
    <row r="855">
      <c r="A855" s="4"/>
      <c r="B855" s="12"/>
      <c r="C855" s="12"/>
      <c r="D855" s="12"/>
      <c r="E855" s="12"/>
      <c r="F855" s="13"/>
      <c r="G855" s="12"/>
    </row>
    <row r="856">
      <c r="A856" s="4"/>
      <c r="B856" s="12"/>
      <c r="C856" s="12"/>
      <c r="D856" s="12"/>
      <c r="E856" s="12"/>
      <c r="F856" s="13"/>
      <c r="G856" s="12"/>
    </row>
    <row r="857">
      <c r="A857" s="4"/>
      <c r="B857" s="12"/>
      <c r="C857" s="12"/>
      <c r="D857" s="12"/>
      <c r="E857" s="12"/>
      <c r="F857" s="13"/>
      <c r="G857" s="12"/>
    </row>
    <row r="858">
      <c r="A858" s="4"/>
      <c r="B858" s="12"/>
      <c r="C858" s="12"/>
      <c r="D858" s="12"/>
      <c r="E858" s="12"/>
      <c r="F858" s="13"/>
      <c r="G858" s="12"/>
    </row>
    <row r="859">
      <c r="A859" s="4"/>
      <c r="B859" s="12"/>
      <c r="C859" s="12"/>
      <c r="D859" s="12"/>
      <c r="E859" s="12"/>
      <c r="F859" s="13"/>
      <c r="G859" s="12"/>
    </row>
    <row r="860">
      <c r="A860" s="4"/>
      <c r="B860" s="12"/>
      <c r="C860" s="12"/>
      <c r="D860" s="12"/>
      <c r="E860" s="12"/>
      <c r="F860" s="13"/>
      <c r="G860" s="12"/>
    </row>
    <row r="861">
      <c r="A861" s="4"/>
      <c r="B861" s="12"/>
      <c r="C861" s="12"/>
      <c r="D861" s="12"/>
      <c r="E861" s="12"/>
      <c r="F861" s="13"/>
      <c r="G861" s="12"/>
    </row>
    <row r="862">
      <c r="A862" s="4"/>
      <c r="B862" s="12"/>
      <c r="C862" s="12"/>
      <c r="D862" s="12"/>
      <c r="E862" s="12"/>
      <c r="F862" s="13"/>
      <c r="G862" s="12"/>
    </row>
    <row r="863">
      <c r="A863" s="4"/>
      <c r="B863" s="12"/>
      <c r="C863" s="12"/>
      <c r="D863" s="12"/>
      <c r="E863" s="12"/>
      <c r="F863" s="13"/>
      <c r="G863" s="12"/>
    </row>
    <row r="864">
      <c r="A864" s="4"/>
      <c r="B864" s="12"/>
      <c r="C864" s="12"/>
      <c r="D864" s="12"/>
      <c r="E864" s="12"/>
      <c r="F864" s="13"/>
      <c r="G864" s="12"/>
    </row>
    <row r="865">
      <c r="A865" s="4"/>
      <c r="B865" s="12"/>
      <c r="C865" s="12"/>
      <c r="D865" s="12"/>
      <c r="E865" s="12"/>
      <c r="F865" s="13"/>
      <c r="G865" s="12"/>
    </row>
    <row r="866">
      <c r="A866" s="4"/>
      <c r="B866" s="12"/>
      <c r="C866" s="12"/>
      <c r="D866" s="12"/>
      <c r="E866" s="12"/>
      <c r="F866" s="13"/>
      <c r="G866" s="12"/>
    </row>
    <row r="867">
      <c r="A867" s="4"/>
      <c r="B867" s="12"/>
      <c r="C867" s="12"/>
      <c r="D867" s="12"/>
      <c r="E867" s="12"/>
      <c r="F867" s="13"/>
      <c r="G867" s="12"/>
    </row>
    <row r="868">
      <c r="A868" s="4"/>
      <c r="B868" s="12"/>
      <c r="C868" s="12"/>
      <c r="D868" s="12"/>
      <c r="E868" s="12"/>
      <c r="F868" s="13"/>
      <c r="G868" s="12"/>
    </row>
    <row r="869">
      <c r="A869" s="4"/>
      <c r="B869" s="12"/>
      <c r="C869" s="12"/>
      <c r="D869" s="12"/>
      <c r="E869" s="12"/>
      <c r="F869" s="13"/>
      <c r="G869" s="12"/>
    </row>
    <row r="870">
      <c r="A870" s="4"/>
      <c r="B870" s="12"/>
      <c r="C870" s="12"/>
      <c r="D870" s="12"/>
      <c r="E870" s="12"/>
      <c r="F870" s="13"/>
      <c r="G870" s="12"/>
    </row>
    <row r="871">
      <c r="A871" s="4"/>
      <c r="B871" s="12"/>
      <c r="C871" s="12"/>
      <c r="D871" s="12"/>
      <c r="E871" s="12"/>
      <c r="F871" s="13"/>
      <c r="G871" s="12"/>
    </row>
    <row r="872">
      <c r="A872" s="4"/>
      <c r="B872" s="12"/>
      <c r="C872" s="12"/>
      <c r="D872" s="12"/>
      <c r="E872" s="12"/>
      <c r="F872" s="13"/>
      <c r="G872" s="12"/>
    </row>
    <row r="873">
      <c r="A873" s="4"/>
      <c r="B873" s="12"/>
      <c r="C873" s="12"/>
      <c r="D873" s="12"/>
      <c r="E873" s="12"/>
      <c r="F873" s="13"/>
      <c r="G873" s="12"/>
    </row>
    <row r="874">
      <c r="A874" s="4"/>
      <c r="B874" s="12"/>
      <c r="C874" s="12"/>
      <c r="D874" s="12"/>
      <c r="E874" s="12"/>
      <c r="F874" s="13"/>
      <c r="G874" s="12"/>
    </row>
    <row r="875">
      <c r="A875" s="4"/>
      <c r="B875" s="12"/>
      <c r="C875" s="12"/>
      <c r="D875" s="12"/>
      <c r="E875" s="12"/>
      <c r="F875" s="13"/>
      <c r="G875" s="12"/>
    </row>
    <row r="876">
      <c r="A876" s="4"/>
      <c r="B876" s="12"/>
      <c r="C876" s="12"/>
      <c r="D876" s="12"/>
      <c r="E876" s="12"/>
      <c r="F876" s="13"/>
      <c r="G876" s="12"/>
    </row>
    <row r="877">
      <c r="A877" s="4"/>
      <c r="B877" s="12"/>
      <c r="C877" s="12"/>
      <c r="D877" s="12"/>
      <c r="E877" s="12"/>
      <c r="F877" s="13"/>
      <c r="G877" s="12"/>
    </row>
    <row r="878">
      <c r="A878" s="4"/>
      <c r="B878" s="12"/>
      <c r="C878" s="12"/>
      <c r="D878" s="12"/>
      <c r="E878" s="12"/>
      <c r="F878" s="13"/>
      <c r="G878" s="12"/>
    </row>
    <row r="879">
      <c r="A879" s="4"/>
      <c r="B879" s="12"/>
      <c r="C879" s="12"/>
      <c r="D879" s="12"/>
      <c r="E879" s="12"/>
      <c r="F879" s="13"/>
      <c r="G879" s="12"/>
    </row>
    <row r="880">
      <c r="A880" s="4"/>
      <c r="B880" s="12"/>
      <c r="C880" s="12"/>
      <c r="D880" s="12"/>
      <c r="E880" s="12"/>
      <c r="F880" s="13"/>
      <c r="G880" s="12"/>
    </row>
    <row r="881">
      <c r="A881" s="4"/>
      <c r="B881" s="12"/>
      <c r="C881" s="12"/>
      <c r="D881" s="12"/>
      <c r="E881" s="12"/>
      <c r="F881" s="13"/>
      <c r="G881" s="12"/>
    </row>
    <row r="882">
      <c r="A882" s="4"/>
      <c r="B882" s="12"/>
      <c r="C882" s="12"/>
      <c r="D882" s="12"/>
      <c r="E882" s="12"/>
      <c r="F882" s="13"/>
      <c r="G882" s="12"/>
    </row>
    <row r="883">
      <c r="A883" s="4"/>
      <c r="B883" s="12"/>
      <c r="C883" s="12"/>
      <c r="D883" s="12"/>
      <c r="E883" s="12"/>
      <c r="F883" s="13"/>
      <c r="G883" s="12"/>
    </row>
    <row r="884">
      <c r="A884" s="4"/>
      <c r="B884" s="12"/>
      <c r="C884" s="12"/>
      <c r="D884" s="12"/>
      <c r="E884" s="12"/>
      <c r="F884" s="13"/>
      <c r="G884" s="12"/>
    </row>
    <row r="885">
      <c r="A885" s="4"/>
      <c r="B885" s="12"/>
      <c r="C885" s="12"/>
      <c r="D885" s="12"/>
      <c r="E885" s="12"/>
      <c r="F885" s="13"/>
      <c r="G885" s="12"/>
    </row>
    <row r="886">
      <c r="A886" s="4"/>
      <c r="B886" s="12"/>
      <c r="C886" s="12"/>
      <c r="D886" s="12"/>
      <c r="E886" s="12"/>
      <c r="F886" s="13"/>
      <c r="G886" s="12"/>
    </row>
    <row r="887">
      <c r="A887" s="4"/>
      <c r="B887" s="12"/>
      <c r="C887" s="12"/>
      <c r="D887" s="12"/>
      <c r="E887" s="12"/>
      <c r="F887" s="13"/>
      <c r="G887" s="12"/>
    </row>
    <row r="888">
      <c r="A888" s="4"/>
      <c r="B888" s="12"/>
      <c r="C888" s="12"/>
      <c r="D888" s="12"/>
      <c r="E888" s="12"/>
      <c r="F888" s="13"/>
      <c r="G888" s="12"/>
    </row>
    <row r="889">
      <c r="A889" s="4"/>
      <c r="B889" s="12"/>
      <c r="C889" s="12"/>
      <c r="D889" s="12"/>
      <c r="E889" s="12"/>
      <c r="F889" s="13"/>
      <c r="G889" s="12"/>
    </row>
    <row r="890">
      <c r="A890" s="4"/>
      <c r="B890" s="12"/>
      <c r="C890" s="12"/>
      <c r="D890" s="12"/>
      <c r="E890" s="12"/>
      <c r="F890" s="13"/>
      <c r="G890" s="12"/>
    </row>
    <row r="891">
      <c r="A891" s="4"/>
      <c r="B891" s="12"/>
      <c r="C891" s="12"/>
      <c r="D891" s="12"/>
      <c r="E891" s="12"/>
      <c r="F891" s="13"/>
      <c r="G891" s="12"/>
    </row>
    <row r="892">
      <c r="A892" s="4"/>
      <c r="B892" s="12"/>
      <c r="C892" s="12"/>
      <c r="D892" s="12"/>
      <c r="E892" s="12"/>
      <c r="F892" s="13"/>
      <c r="G892" s="12"/>
    </row>
    <row r="893">
      <c r="A893" s="4"/>
      <c r="B893" s="12"/>
      <c r="C893" s="12"/>
      <c r="D893" s="12"/>
      <c r="E893" s="12"/>
      <c r="F893" s="13"/>
      <c r="G893" s="12"/>
    </row>
    <row r="894">
      <c r="A894" s="4"/>
      <c r="B894" s="12"/>
      <c r="C894" s="12"/>
      <c r="D894" s="12"/>
      <c r="E894" s="12"/>
      <c r="F894" s="13"/>
      <c r="G894" s="12"/>
    </row>
    <row r="895">
      <c r="A895" s="4"/>
      <c r="B895" s="12"/>
      <c r="C895" s="12"/>
      <c r="D895" s="12"/>
      <c r="E895" s="12"/>
      <c r="F895" s="13"/>
      <c r="G895" s="12"/>
    </row>
    <row r="896">
      <c r="A896" s="4"/>
      <c r="B896" s="12"/>
      <c r="C896" s="12"/>
      <c r="D896" s="12"/>
      <c r="E896" s="12"/>
      <c r="F896" s="13"/>
      <c r="G896" s="12"/>
    </row>
    <row r="897">
      <c r="A897" s="4"/>
      <c r="B897" s="12"/>
      <c r="C897" s="12"/>
      <c r="D897" s="12"/>
      <c r="E897" s="12"/>
      <c r="F897" s="13"/>
      <c r="G897" s="12"/>
    </row>
    <row r="898">
      <c r="A898" s="4"/>
      <c r="B898" s="12"/>
      <c r="C898" s="12"/>
      <c r="D898" s="12"/>
      <c r="E898" s="12"/>
      <c r="F898" s="13"/>
      <c r="G898" s="12"/>
    </row>
    <row r="899">
      <c r="A899" s="4"/>
      <c r="B899" s="12"/>
      <c r="C899" s="12"/>
      <c r="D899" s="12"/>
      <c r="E899" s="12"/>
      <c r="F899" s="13"/>
      <c r="G899" s="12"/>
    </row>
    <row r="900">
      <c r="A900" s="4"/>
      <c r="B900" s="12"/>
      <c r="C900" s="12"/>
      <c r="D900" s="12"/>
      <c r="E900" s="12"/>
      <c r="F900" s="13"/>
      <c r="G900" s="12"/>
    </row>
    <row r="901">
      <c r="A901" s="4"/>
      <c r="B901" s="12"/>
      <c r="C901" s="12"/>
      <c r="D901" s="12"/>
      <c r="E901" s="12"/>
      <c r="F901" s="13"/>
      <c r="G901" s="12"/>
    </row>
    <row r="902">
      <c r="A902" s="4"/>
      <c r="B902" s="12"/>
      <c r="C902" s="12"/>
      <c r="D902" s="12"/>
      <c r="E902" s="12"/>
      <c r="F902" s="13"/>
      <c r="G902" s="12"/>
    </row>
    <row r="903">
      <c r="A903" s="4"/>
      <c r="B903" s="12"/>
      <c r="C903" s="12"/>
      <c r="D903" s="12"/>
      <c r="E903" s="12"/>
      <c r="F903" s="13"/>
      <c r="G903" s="12"/>
    </row>
    <row r="904">
      <c r="A904" s="4"/>
      <c r="B904" s="12"/>
      <c r="C904" s="12"/>
      <c r="D904" s="12"/>
      <c r="E904" s="12"/>
      <c r="F904" s="13"/>
      <c r="G904" s="12"/>
    </row>
    <row r="905">
      <c r="A905" s="4"/>
      <c r="B905" s="12"/>
      <c r="C905" s="12"/>
      <c r="D905" s="12"/>
      <c r="E905" s="12"/>
      <c r="F905" s="13"/>
      <c r="G905" s="12"/>
    </row>
    <row r="906">
      <c r="A906" s="4"/>
      <c r="B906" s="12"/>
      <c r="C906" s="12"/>
      <c r="D906" s="12"/>
      <c r="E906" s="12"/>
      <c r="F906" s="13"/>
      <c r="G906" s="12"/>
    </row>
    <row r="907">
      <c r="A907" s="4"/>
      <c r="B907" s="12"/>
      <c r="C907" s="12"/>
      <c r="D907" s="12"/>
      <c r="E907" s="12"/>
      <c r="F907" s="13"/>
      <c r="G907" s="12"/>
    </row>
    <row r="908">
      <c r="A908" s="4"/>
      <c r="B908" s="12"/>
      <c r="C908" s="12"/>
      <c r="D908" s="12"/>
      <c r="E908" s="12"/>
      <c r="F908" s="13"/>
      <c r="G908" s="12"/>
    </row>
    <row r="909">
      <c r="A909" s="4"/>
      <c r="B909" s="12"/>
      <c r="C909" s="12"/>
      <c r="D909" s="12"/>
      <c r="E909" s="12"/>
      <c r="F909" s="13"/>
      <c r="G909" s="12"/>
    </row>
    <row r="910">
      <c r="A910" s="4"/>
      <c r="B910" s="12"/>
      <c r="C910" s="12"/>
      <c r="D910" s="12"/>
      <c r="E910" s="12"/>
      <c r="F910" s="13"/>
      <c r="G910" s="12"/>
    </row>
    <row r="911">
      <c r="A911" s="4"/>
      <c r="B911" s="12"/>
      <c r="C911" s="12"/>
      <c r="D911" s="12"/>
      <c r="E911" s="12"/>
      <c r="F911" s="13"/>
      <c r="G911" s="12"/>
    </row>
    <row r="912">
      <c r="A912" s="4"/>
      <c r="B912" s="12"/>
      <c r="C912" s="12"/>
      <c r="D912" s="12"/>
      <c r="E912" s="12"/>
      <c r="F912" s="13"/>
      <c r="G912" s="12"/>
    </row>
    <row r="913">
      <c r="A913" s="4"/>
      <c r="B913" s="12"/>
      <c r="C913" s="12"/>
      <c r="D913" s="12"/>
      <c r="E913" s="12"/>
      <c r="F913" s="13"/>
      <c r="G913" s="12"/>
    </row>
    <row r="914">
      <c r="A914" s="4"/>
      <c r="B914" s="12"/>
      <c r="C914" s="12"/>
      <c r="D914" s="12"/>
      <c r="E914" s="12"/>
      <c r="F914" s="13"/>
      <c r="G914" s="12"/>
    </row>
    <row r="915">
      <c r="A915" s="4"/>
      <c r="B915" s="12"/>
      <c r="C915" s="12"/>
      <c r="D915" s="12"/>
      <c r="E915" s="12"/>
      <c r="F915" s="13"/>
      <c r="G915" s="12"/>
    </row>
    <row r="916">
      <c r="A916" s="4"/>
      <c r="B916" s="12"/>
      <c r="C916" s="12"/>
      <c r="D916" s="12"/>
      <c r="E916" s="12"/>
      <c r="F916" s="13"/>
      <c r="G916" s="12"/>
    </row>
    <row r="917">
      <c r="A917" s="4"/>
      <c r="B917" s="12"/>
      <c r="C917" s="12"/>
      <c r="D917" s="12"/>
      <c r="E917" s="12"/>
      <c r="F917" s="13"/>
      <c r="G917" s="12"/>
    </row>
    <row r="918">
      <c r="A918" s="4"/>
      <c r="B918" s="12"/>
      <c r="C918" s="12"/>
      <c r="D918" s="12"/>
      <c r="E918" s="12"/>
      <c r="F918" s="13"/>
      <c r="G918" s="12"/>
    </row>
    <row r="919">
      <c r="A919" s="4"/>
      <c r="B919" s="12"/>
      <c r="C919" s="12"/>
      <c r="D919" s="12"/>
      <c r="E919" s="12"/>
      <c r="F919" s="13"/>
      <c r="G919" s="12"/>
    </row>
    <row r="920">
      <c r="A920" s="4"/>
      <c r="B920" s="12"/>
      <c r="C920" s="12"/>
      <c r="D920" s="12"/>
      <c r="E920" s="12"/>
      <c r="F920" s="13"/>
      <c r="G920" s="12"/>
    </row>
    <row r="921">
      <c r="A921" s="4"/>
      <c r="B921" s="12"/>
      <c r="C921" s="12"/>
      <c r="D921" s="12"/>
      <c r="E921" s="12"/>
      <c r="F921" s="13"/>
      <c r="G921" s="12"/>
    </row>
    <row r="922">
      <c r="A922" s="4"/>
      <c r="B922" s="12"/>
      <c r="C922" s="12"/>
      <c r="D922" s="12"/>
      <c r="E922" s="12"/>
      <c r="F922" s="13"/>
      <c r="G922" s="12"/>
    </row>
    <row r="923">
      <c r="A923" s="4"/>
      <c r="B923" s="12"/>
      <c r="C923" s="12"/>
      <c r="D923" s="12"/>
      <c r="E923" s="12"/>
      <c r="F923" s="13"/>
      <c r="G923" s="12"/>
    </row>
    <row r="924">
      <c r="A924" s="4"/>
      <c r="B924" s="12"/>
      <c r="C924" s="12"/>
      <c r="D924" s="12"/>
      <c r="E924" s="12"/>
      <c r="F924" s="13"/>
      <c r="G924" s="12"/>
    </row>
    <row r="925">
      <c r="A925" s="4"/>
      <c r="B925" s="12"/>
      <c r="C925" s="12"/>
      <c r="D925" s="12"/>
      <c r="E925" s="12"/>
      <c r="F925" s="13"/>
      <c r="G925" s="12"/>
    </row>
    <row r="926">
      <c r="A926" s="4"/>
      <c r="B926" s="12"/>
      <c r="C926" s="12"/>
      <c r="D926" s="12"/>
      <c r="E926" s="12"/>
      <c r="F926" s="13"/>
      <c r="G926" s="12"/>
    </row>
    <row r="927">
      <c r="A927" s="4"/>
      <c r="B927" s="12"/>
      <c r="C927" s="12"/>
      <c r="D927" s="12"/>
      <c r="E927" s="12"/>
      <c r="F927" s="13"/>
      <c r="G927" s="12"/>
    </row>
    <row r="928">
      <c r="A928" s="4"/>
      <c r="B928" s="12"/>
      <c r="C928" s="12"/>
      <c r="D928" s="12"/>
      <c r="E928" s="12"/>
      <c r="F928" s="13"/>
      <c r="G928" s="12"/>
    </row>
    <row r="929">
      <c r="A929" s="4"/>
      <c r="B929" s="12"/>
      <c r="C929" s="12"/>
      <c r="D929" s="12"/>
      <c r="E929" s="12"/>
      <c r="F929" s="13"/>
      <c r="G929" s="12"/>
    </row>
    <row r="930">
      <c r="A930" s="4"/>
      <c r="B930" s="12"/>
      <c r="C930" s="12"/>
      <c r="D930" s="12"/>
      <c r="E930" s="12"/>
      <c r="F930" s="13"/>
      <c r="G930" s="12"/>
    </row>
    <row r="931">
      <c r="A931" s="4"/>
      <c r="B931" s="12"/>
      <c r="C931" s="12"/>
      <c r="D931" s="12"/>
      <c r="E931" s="12"/>
      <c r="F931" s="13"/>
      <c r="G931" s="12"/>
    </row>
    <row r="932">
      <c r="A932" s="4"/>
      <c r="B932" s="12"/>
      <c r="C932" s="12"/>
      <c r="D932" s="12"/>
      <c r="E932" s="12"/>
      <c r="F932" s="13"/>
      <c r="G932" s="12"/>
    </row>
    <row r="933">
      <c r="A933" s="4"/>
      <c r="B933" s="12"/>
      <c r="C933" s="12"/>
      <c r="D933" s="12"/>
      <c r="E933" s="12"/>
      <c r="F933" s="13"/>
      <c r="G933" s="12"/>
    </row>
    <row r="934">
      <c r="A934" s="4"/>
      <c r="B934" s="12"/>
      <c r="C934" s="12"/>
      <c r="D934" s="12"/>
      <c r="E934" s="12"/>
      <c r="F934" s="13"/>
      <c r="G934" s="12"/>
    </row>
    <row r="935">
      <c r="A935" s="4"/>
      <c r="B935" s="12"/>
      <c r="C935" s="12"/>
      <c r="D935" s="12"/>
      <c r="E935" s="12"/>
      <c r="F935" s="13"/>
      <c r="G935" s="12"/>
    </row>
    <row r="936">
      <c r="A936" s="4"/>
      <c r="B936" s="12"/>
      <c r="C936" s="12"/>
      <c r="D936" s="12"/>
      <c r="E936" s="12"/>
      <c r="F936" s="13"/>
      <c r="G936" s="12"/>
    </row>
    <row r="937">
      <c r="A937" s="4"/>
      <c r="B937" s="12"/>
      <c r="C937" s="12"/>
      <c r="D937" s="12"/>
      <c r="E937" s="12"/>
      <c r="F937" s="13"/>
      <c r="G937" s="12"/>
    </row>
    <row r="938">
      <c r="A938" s="4"/>
      <c r="B938" s="12"/>
      <c r="C938" s="12"/>
      <c r="D938" s="12"/>
      <c r="E938" s="12"/>
      <c r="F938" s="13"/>
      <c r="G938" s="12"/>
    </row>
    <row r="939">
      <c r="A939" s="4"/>
      <c r="B939" s="12"/>
      <c r="C939" s="12"/>
      <c r="D939" s="12"/>
      <c r="E939" s="12"/>
      <c r="F939" s="13"/>
      <c r="G939" s="12"/>
    </row>
    <row r="940">
      <c r="A940" s="4"/>
      <c r="B940" s="12"/>
      <c r="C940" s="12"/>
      <c r="D940" s="12"/>
      <c r="E940" s="12"/>
      <c r="F940" s="13"/>
      <c r="G940" s="12"/>
    </row>
    <row r="941">
      <c r="A941" s="4"/>
      <c r="B941" s="12"/>
      <c r="C941" s="12"/>
      <c r="D941" s="12"/>
      <c r="E941" s="12"/>
      <c r="F941" s="13"/>
      <c r="G941" s="12"/>
    </row>
    <row r="942">
      <c r="A942" s="4"/>
      <c r="B942" s="12"/>
      <c r="C942" s="12"/>
      <c r="D942" s="12"/>
      <c r="E942" s="12"/>
      <c r="F942" s="13"/>
      <c r="G942" s="12"/>
    </row>
    <row r="943">
      <c r="A943" s="4"/>
      <c r="B943" s="12"/>
      <c r="C943" s="12"/>
      <c r="D943" s="12"/>
      <c r="E943" s="12"/>
      <c r="F943" s="13"/>
      <c r="G943" s="12"/>
    </row>
    <row r="944">
      <c r="A944" s="4"/>
      <c r="B944" s="12"/>
      <c r="C944" s="12"/>
      <c r="D944" s="12"/>
      <c r="E944" s="12"/>
      <c r="F944" s="13"/>
      <c r="G944" s="12"/>
    </row>
    <row r="945">
      <c r="A945" s="4"/>
      <c r="B945" s="12"/>
      <c r="C945" s="12"/>
      <c r="D945" s="12"/>
      <c r="E945" s="12"/>
      <c r="F945" s="13"/>
      <c r="G945" s="12"/>
    </row>
    <row r="946">
      <c r="A946" s="4"/>
      <c r="B946" s="12"/>
      <c r="C946" s="12"/>
      <c r="D946" s="12"/>
      <c r="E946" s="12"/>
      <c r="F946" s="13"/>
      <c r="G946" s="12"/>
    </row>
    <row r="947">
      <c r="A947" s="4"/>
      <c r="B947" s="12"/>
      <c r="C947" s="12"/>
      <c r="D947" s="12"/>
      <c r="E947" s="12"/>
      <c r="F947" s="13"/>
      <c r="G947" s="12"/>
    </row>
    <row r="948">
      <c r="A948" s="4"/>
      <c r="B948" s="12"/>
      <c r="C948" s="12"/>
      <c r="D948" s="12"/>
      <c r="E948" s="12"/>
      <c r="F948" s="13"/>
      <c r="G948" s="12"/>
    </row>
    <row r="949">
      <c r="A949" s="4"/>
      <c r="B949" s="12"/>
      <c r="C949" s="12"/>
      <c r="D949" s="12"/>
      <c r="E949" s="12"/>
      <c r="F949" s="13"/>
      <c r="G949" s="12"/>
    </row>
    <row r="950">
      <c r="A950" s="4"/>
      <c r="B950" s="12"/>
      <c r="C950" s="12"/>
      <c r="D950" s="12"/>
      <c r="E950" s="12"/>
      <c r="F950" s="13"/>
      <c r="G950" s="12"/>
    </row>
    <row r="951">
      <c r="A951" s="4"/>
      <c r="B951" s="12"/>
      <c r="C951" s="12"/>
      <c r="D951" s="12"/>
      <c r="E951" s="12"/>
      <c r="F951" s="13"/>
      <c r="G951" s="12"/>
    </row>
    <row r="952">
      <c r="A952" s="4"/>
      <c r="B952" s="12"/>
      <c r="C952" s="12"/>
      <c r="D952" s="12"/>
      <c r="E952" s="12"/>
      <c r="F952" s="13"/>
      <c r="G952" s="12"/>
    </row>
    <row r="953">
      <c r="A953" s="4"/>
      <c r="B953" s="12"/>
      <c r="C953" s="12"/>
      <c r="D953" s="12"/>
      <c r="E953" s="12"/>
      <c r="F953" s="13"/>
      <c r="G953" s="12"/>
    </row>
    <row r="954">
      <c r="A954" s="4"/>
      <c r="B954" s="12"/>
      <c r="C954" s="12"/>
      <c r="D954" s="12"/>
      <c r="E954" s="12"/>
      <c r="F954" s="13"/>
      <c r="G954" s="12"/>
    </row>
    <row r="955">
      <c r="A955" s="4"/>
      <c r="B955" s="12"/>
      <c r="C955" s="12"/>
      <c r="D955" s="12"/>
      <c r="E955" s="12"/>
      <c r="F955" s="13"/>
      <c r="G955" s="12"/>
    </row>
    <row r="956">
      <c r="A956" s="4"/>
      <c r="B956" s="12"/>
      <c r="C956" s="12"/>
      <c r="D956" s="12"/>
      <c r="E956" s="12"/>
      <c r="F956" s="13"/>
      <c r="G956" s="12"/>
    </row>
    <row r="957">
      <c r="A957" s="4"/>
      <c r="B957" s="12"/>
      <c r="C957" s="12"/>
      <c r="D957" s="12"/>
      <c r="E957" s="12"/>
      <c r="F957" s="13"/>
      <c r="G957" s="12"/>
    </row>
    <row r="958">
      <c r="A958" s="4"/>
      <c r="B958" s="12"/>
      <c r="C958" s="12"/>
      <c r="D958" s="12"/>
      <c r="E958" s="12"/>
      <c r="F958" s="13"/>
      <c r="G958" s="12"/>
    </row>
    <row r="959">
      <c r="A959" s="4"/>
      <c r="B959" s="12"/>
      <c r="C959" s="12"/>
      <c r="D959" s="12"/>
      <c r="E959" s="12"/>
      <c r="F959" s="13"/>
      <c r="G959" s="12"/>
    </row>
    <row r="960">
      <c r="A960" s="4"/>
      <c r="B960" s="12"/>
      <c r="C960" s="12"/>
      <c r="D960" s="12"/>
      <c r="E960" s="12"/>
      <c r="F960" s="13"/>
      <c r="G960" s="12"/>
    </row>
    <row r="961">
      <c r="A961" s="4"/>
      <c r="B961" s="12"/>
      <c r="C961" s="12"/>
      <c r="D961" s="12"/>
      <c r="E961" s="12"/>
      <c r="F961" s="13"/>
      <c r="G961" s="12"/>
    </row>
    <row r="962">
      <c r="A962" s="4"/>
      <c r="B962" s="12"/>
      <c r="C962" s="12"/>
      <c r="D962" s="12"/>
      <c r="E962" s="12"/>
      <c r="F962" s="13"/>
      <c r="G962" s="12"/>
    </row>
    <row r="963">
      <c r="A963" s="4"/>
      <c r="B963" s="12"/>
      <c r="C963" s="12"/>
      <c r="D963" s="12"/>
      <c r="E963" s="12"/>
      <c r="F963" s="13"/>
      <c r="G963" s="12"/>
    </row>
    <row r="964">
      <c r="A964" s="4"/>
      <c r="B964" s="12"/>
      <c r="C964" s="12"/>
      <c r="D964" s="12"/>
      <c r="E964" s="12"/>
      <c r="F964" s="13"/>
      <c r="G964" s="12"/>
    </row>
    <row r="965">
      <c r="A965" s="4"/>
      <c r="B965" s="12"/>
      <c r="C965" s="12"/>
      <c r="D965" s="12"/>
      <c r="E965" s="12"/>
      <c r="F965" s="13"/>
      <c r="G965" s="12"/>
    </row>
    <row r="966">
      <c r="A966" s="4"/>
      <c r="B966" s="12"/>
      <c r="C966" s="12"/>
      <c r="D966" s="12"/>
      <c r="E966" s="12"/>
      <c r="F966" s="13"/>
      <c r="G966" s="12"/>
    </row>
    <row r="967">
      <c r="A967" s="4"/>
      <c r="B967" s="12"/>
      <c r="C967" s="12"/>
      <c r="D967" s="12"/>
      <c r="E967" s="12"/>
      <c r="F967" s="13"/>
      <c r="G967" s="12"/>
    </row>
    <row r="968">
      <c r="A968" s="4"/>
      <c r="B968" s="12"/>
      <c r="C968" s="12"/>
      <c r="D968" s="12"/>
      <c r="E968" s="12"/>
      <c r="F968" s="13"/>
      <c r="G968" s="12"/>
    </row>
    <row r="969">
      <c r="A969" s="4"/>
      <c r="B969" s="12"/>
      <c r="C969" s="12"/>
      <c r="D969" s="12"/>
      <c r="E969" s="12"/>
      <c r="F969" s="13"/>
      <c r="G969" s="12"/>
    </row>
    <row r="970">
      <c r="A970" s="4"/>
      <c r="B970" s="12"/>
      <c r="C970" s="12"/>
      <c r="D970" s="12"/>
      <c r="E970" s="12"/>
      <c r="F970" s="13"/>
      <c r="G970" s="12"/>
    </row>
    <row r="971">
      <c r="A971" s="4"/>
      <c r="B971" s="12"/>
      <c r="C971" s="12"/>
      <c r="D971" s="12"/>
      <c r="E971" s="12"/>
      <c r="F971" s="13"/>
      <c r="G971" s="12"/>
    </row>
    <row r="972">
      <c r="A972" s="4"/>
      <c r="B972" s="12"/>
      <c r="C972" s="12"/>
      <c r="D972" s="12"/>
      <c r="E972" s="12"/>
      <c r="F972" s="13"/>
      <c r="G972" s="12"/>
    </row>
    <row r="973">
      <c r="A973" s="4"/>
      <c r="B973" s="12"/>
      <c r="C973" s="12"/>
      <c r="D973" s="12"/>
      <c r="E973" s="12"/>
      <c r="F973" s="13"/>
      <c r="G973" s="12"/>
    </row>
    <row r="974">
      <c r="A974" s="4"/>
      <c r="B974" s="12"/>
      <c r="C974" s="12"/>
      <c r="D974" s="12"/>
      <c r="E974" s="12"/>
      <c r="F974" s="13"/>
      <c r="G974" s="12"/>
    </row>
    <row r="975">
      <c r="A975" s="4"/>
      <c r="B975" s="12"/>
      <c r="C975" s="12"/>
      <c r="D975" s="12"/>
      <c r="E975" s="12"/>
      <c r="F975" s="13"/>
      <c r="G975" s="12"/>
    </row>
    <row r="976">
      <c r="A976" s="4"/>
      <c r="B976" s="12"/>
      <c r="C976" s="12"/>
      <c r="D976" s="12"/>
      <c r="E976" s="12"/>
      <c r="F976" s="13"/>
      <c r="G976" s="12"/>
    </row>
    <row r="977">
      <c r="A977" s="4"/>
      <c r="B977" s="12"/>
      <c r="C977" s="12"/>
      <c r="D977" s="12"/>
      <c r="E977" s="12"/>
      <c r="F977" s="13"/>
      <c r="G977" s="12"/>
    </row>
    <row r="978">
      <c r="A978" s="4"/>
      <c r="B978" s="12"/>
      <c r="C978" s="12"/>
      <c r="D978" s="12"/>
      <c r="E978" s="12"/>
      <c r="F978" s="13"/>
      <c r="G978" s="12"/>
    </row>
    <row r="979">
      <c r="A979" s="4"/>
      <c r="B979" s="12"/>
      <c r="C979" s="12"/>
      <c r="D979" s="12"/>
      <c r="E979" s="12"/>
      <c r="F979" s="13"/>
      <c r="G979" s="12"/>
    </row>
    <row r="980">
      <c r="A980" s="4"/>
      <c r="B980" s="12"/>
      <c r="C980" s="12"/>
      <c r="D980" s="12"/>
      <c r="E980" s="12"/>
      <c r="F980" s="13"/>
      <c r="G980" s="12"/>
    </row>
    <row r="981">
      <c r="A981" s="4"/>
      <c r="B981" s="12"/>
      <c r="C981" s="12"/>
      <c r="D981" s="12"/>
      <c r="E981" s="12"/>
      <c r="F981" s="13"/>
      <c r="G981" s="12"/>
    </row>
    <row r="982">
      <c r="A982" s="4"/>
      <c r="B982" s="12"/>
      <c r="C982" s="12"/>
      <c r="D982" s="12"/>
      <c r="E982" s="12"/>
      <c r="F982" s="13"/>
      <c r="G982" s="12"/>
    </row>
    <row r="983">
      <c r="A983" s="4"/>
      <c r="B983" s="12"/>
      <c r="C983" s="12"/>
      <c r="D983" s="12"/>
      <c r="E983" s="12"/>
      <c r="F983" s="13"/>
      <c r="G983" s="12"/>
    </row>
    <row r="984">
      <c r="A984" s="4"/>
      <c r="B984" s="12"/>
      <c r="C984" s="12"/>
      <c r="D984" s="12"/>
      <c r="E984" s="12"/>
      <c r="F984" s="13"/>
      <c r="G984" s="12"/>
    </row>
    <row r="985">
      <c r="A985" s="4"/>
      <c r="B985" s="12"/>
      <c r="C985" s="12"/>
      <c r="D985" s="12"/>
      <c r="E985" s="12"/>
      <c r="F985" s="13"/>
      <c r="G985" s="12"/>
    </row>
    <row r="986">
      <c r="A986" s="4"/>
      <c r="B986" s="12"/>
      <c r="C986" s="12"/>
      <c r="D986" s="12"/>
      <c r="E986" s="12"/>
      <c r="F986" s="13"/>
      <c r="G986" s="12"/>
    </row>
    <row r="987">
      <c r="A987" s="4"/>
      <c r="B987" s="12"/>
      <c r="C987" s="12"/>
      <c r="D987" s="12"/>
      <c r="E987" s="12"/>
      <c r="F987" s="13"/>
      <c r="G987" s="12"/>
    </row>
    <row r="988">
      <c r="A988" s="4"/>
      <c r="B988" s="12"/>
      <c r="C988" s="12"/>
      <c r="D988" s="12"/>
      <c r="E988" s="12"/>
      <c r="F988" s="13"/>
      <c r="G988" s="12"/>
    </row>
    <row r="989">
      <c r="A989" s="4"/>
      <c r="B989" s="12"/>
      <c r="C989" s="12"/>
      <c r="D989" s="12"/>
      <c r="E989" s="12"/>
      <c r="F989" s="13"/>
      <c r="G989" s="12"/>
    </row>
    <row r="990">
      <c r="A990" s="4"/>
      <c r="B990" s="12"/>
      <c r="C990" s="12"/>
      <c r="D990" s="12"/>
      <c r="E990" s="12"/>
      <c r="F990" s="13"/>
      <c r="G990" s="12"/>
    </row>
    <row r="991">
      <c r="A991" s="4"/>
      <c r="B991" s="12"/>
      <c r="C991" s="12"/>
      <c r="D991" s="12"/>
      <c r="E991" s="12"/>
      <c r="F991" s="13"/>
      <c r="G991" s="12"/>
    </row>
    <row r="992">
      <c r="A992" s="4"/>
      <c r="B992" s="12"/>
      <c r="C992" s="12"/>
      <c r="D992" s="12"/>
      <c r="E992" s="12"/>
      <c r="F992" s="13"/>
      <c r="G992" s="12"/>
    </row>
    <row r="993">
      <c r="A993" s="4"/>
      <c r="B993" s="12"/>
      <c r="C993" s="12"/>
      <c r="D993" s="12"/>
      <c r="E993" s="12"/>
      <c r="F993" s="13"/>
      <c r="G993" s="12"/>
    </row>
    <row r="994">
      <c r="A994" s="4"/>
      <c r="B994" s="12"/>
      <c r="C994" s="12"/>
      <c r="D994" s="12"/>
      <c r="E994" s="12"/>
      <c r="F994" s="13"/>
      <c r="G994" s="12"/>
    </row>
    <row r="995">
      <c r="A995" s="4"/>
      <c r="B995" s="12"/>
      <c r="C995" s="12"/>
      <c r="D995" s="12"/>
      <c r="E995" s="12"/>
      <c r="F995" s="13"/>
      <c r="G995" s="12"/>
    </row>
    <row r="996">
      <c r="A996" s="4"/>
      <c r="B996" s="12"/>
      <c r="C996" s="12"/>
      <c r="D996" s="12"/>
      <c r="E996" s="12"/>
      <c r="F996" s="13"/>
      <c r="G996" s="12"/>
    </row>
    <row r="997">
      <c r="A997" s="4"/>
      <c r="B997" s="12"/>
      <c r="C997" s="12"/>
      <c r="D997" s="12"/>
      <c r="E997" s="12"/>
      <c r="F997" s="13"/>
      <c r="G997" s="12"/>
    </row>
    <row r="998">
      <c r="A998" s="4"/>
      <c r="B998" s="12"/>
      <c r="C998" s="12"/>
      <c r="D998" s="12"/>
      <c r="E998" s="12"/>
      <c r="F998" s="13"/>
      <c r="G998" s="12"/>
    </row>
    <row r="999">
      <c r="A999" s="4"/>
      <c r="B999" s="12"/>
      <c r="C999" s="12"/>
      <c r="D999" s="12"/>
      <c r="E999" s="12"/>
      <c r="F999" s="13"/>
      <c r="G999" s="12"/>
    </row>
    <row r="1000">
      <c r="A1000" s="4"/>
      <c r="B1000" s="12"/>
      <c r="C1000" s="12"/>
      <c r="D1000" s="12"/>
      <c r="E1000" s="12"/>
      <c r="F1000" s="13"/>
      <c r="G1000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25"/>
  </cols>
  <sheetData>
    <row r="1">
      <c r="A1" s="14" t="str">
        <f>IFERROR(__xludf.DUMMYFUNCTION("IMPORTRANGE(""https://docs.google.com/spreadsheets/d/1eO365hmI2Nm9_YssKGka92teOkoRD0uzSnM0r31D7ek/edit?pli=1#gid=606377111"",""2026 Brett!A:k"")"),"Job #")</f>
        <v>Job #</v>
      </c>
      <c r="B1" s="14" t="str">
        <f>IFERROR(__xludf.DUMMYFUNCTION("""COMPUTED_VALUE"""),"Name")</f>
        <v>Name</v>
      </c>
      <c r="C1" s="14" t="str">
        <f>IFERROR(__xludf.DUMMYFUNCTION("""COMPUTED_VALUE"""),"Paid in Full")</f>
        <v>Paid in Full</v>
      </c>
      <c r="D1" s="14" t="str">
        <f>IFERROR(__xludf.DUMMYFUNCTION("""COMPUTED_VALUE"""),"GP %")</f>
        <v>GP %</v>
      </c>
      <c r="E1" s="14" t="str">
        <f>IFERROR(__xludf.DUMMYFUNCTION("""COMPUTED_VALUE"""),"Contract")</f>
        <v>Contract</v>
      </c>
      <c r="F1" s="14" t="str">
        <f>IFERROR(__xludf.DUMMYFUNCTION("""COMPUTED_VALUE"""),"Change Orders")</f>
        <v>Change Orders</v>
      </c>
      <c r="G1" s="15" t="str">
        <f>IFERROR(__xludf.DUMMYFUNCTION("""COMPUTED_VALUE"""),"Invoiced")</f>
        <v>Invoiced</v>
      </c>
      <c r="H1" s="14" t="str">
        <f>IFERROR(__xludf.DUMMYFUNCTION("""COMPUTED_VALUE"""),"Amount Paid")</f>
        <v>Amount Paid</v>
      </c>
      <c r="I1" s="15" t="str">
        <f>IFERROR(__xludf.DUMMYFUNCTION("""COMPUTED_VALUE"""),"Expected Commission")</f>
        <v>Expected Commission</v>
      </c>
      <c r="J1" s="15" t="str">
        <f>IFERROR(__xludf.DUMMYFUNCTION("""COMPUTED_VALUE"""),"Commission Paid")</f>
        <v>Commission Paid</v>
      </c>
      <c r="K1" s="15" t="str">
        <f>IFERROR(__xludf.DUMMYFUNCTION("""COMPUTED_VALUE"""),"Commission Owed")</f>
        <v>Commission Owed</v>
      </c>
      <c r="L1" s="16" t="s">
        <v>55</v>
      </c>
    </row>
    <row r="2">
      <c r="A2" s="17">
        <f>IFERROR(__xludf.DUMMYFUNCTION("""COMPUTED_VALUE"""),2.0265002E7)</f>
        <v>20265002</v>
      </c>
      <c r="B2" s="17" t="str">
        <f>IFERROR(__xludf.DUMMYFUNCTION("""COMPUTED_VALUE"""),"Matthew Patton")</f>
        <v>Matthew Patton</v>
      </c>
      <c r="C2" s="17" t="b">
        <f>IFERROR(__xludf.DUMMYFUNCTION("""COMPUTED_VALUE"""),TRUE)</f>
        <v>1</v>
      </c>
      <c r="D2" s="18">
        <f>IFERROR(__xludf.DUMMYFUNCTION("""COMPUTED_VALUE"""),0.4919444444444444)</f>
        <v>0.4919444444</v>
      </c>
      <c r="E2" s="19">
        <f>IFERROR(__xludf.DUMMYFUNCTION("""COMPUTED_VALUE"""),540.0)</f>
        <v>540</v>
      </c>
      <c r="F2" s="19">
        <f>IFERROR(__xludf.DUMMYFUNCTION("""COMPUTED_VALUE"""),0.0)</f>
        <v>0</v>
      </c>
      <c r="G2" s="19">
        <f>IFERROR(__xludf.DUMMYFUNCTION("""COMPUTED_VALUE"""),540.0)</f>
        <v>540</v>
      </c>
      <c r="H2" s="19">
        <f>IFERROR(__xludf.DUMMYFUNCTION("""COMPUTED_VALUE"""),540.0)</f>
        <v>540</v>
      </c>
      <c r="I2" s="19">
        <f>IFERROR(__xludf.DUMMYFUNCTION("""COMPUTED_VALUE"""),27.0)</f>
        <v>27</v>
      </c>
      <c r="J2" s="19">
        <f>IFERROR(__xludf.DUMMYFUNCTION("""COMPUTED_VALUE"""),27.0)</f>
        <v>27</v>
      </c>
      <c r="K2" s="19">
        <f>IFERROR(__xludf.DUMMYFUNCTION("""COMPUTED_VALUE"""),0.0)</f>
        <v>0</v>
      </c>
      <c r="L2" s="20" t="b">
        <v>0</v>
      </c>
    </row>
    <row r="3">
      <c r="A3" s="17">
        <f>IFERROR(__xludf.DUMMYFUNCTION("""COMPUTED_VALUE"""),2.0265006E7)</f>
        <v>20265006</v>
      </c>
      <c r="B3" s="17" t="str">
        <f>IFERROR(__xludf.DUMMYFUNCTION("""COMPUTED_VALUE"""),"Nancy Avila")</f>
        <v>Nancy Avila</v>
      </c>
      <c r="C3" s="17" t="b">
        <f>IFERROR(__xludf.DUMMYFUNCTION("""COMPUTED_VALUE"""),TRUE)</f>
        <v>1</v>
      </c>
      <c r="D3" s="18">
        <f>IFERROR(__xludf.DUMMYFUNCTION("""COMPUTED_VALUE"""),0.5454545454545454)</f>
        <v>0.5454545455</v>
      </c>
      <c r="E3" s="19">
        <f>IFERROR(__xludf.DUMMYFUNCTION("""COMPUTED_VALUE"""),550.0)</f>
        <v>550</v>
      </c>
      <c r="F3" s="19">
        <f>IFERROR(__xludf.DUMMYFUNCTION("""COMPUTED_VALUE"""),0.0)</f>
        <v>0</v>
      </c>
      <c r="G3" s="19">
        <f>IFERROR(__xludf.DUMMYFUNCTION("""COMPUTED_VALUE"""),550.0)</f>
        <v>550</v>
      </c>
      <c r="H3" s="19">
        <f>IFERROR(__xludf.DUMMYFUNCTION("""COMPUTED_VALUE"""),550.0)</f>
        <v>550</v>
      </c>
      <c r="I3" s="19">
        <f>IFERROR(__xludf.DUMMYFUNCTION("""COMPUTED_VALUE"""),27.5)</f>
        <v>27.5</v>
      </c>
      <c r="J3" s="19">
        <f>IFERROR(__xludf.DUMMYFUNCTION("""COMPUTED_VALUE"""),27.5)</f>
        <v>27.5</v>
      </c>
      <c r="K3" s="19">
        <f>IFERROR(__xludf.DUMMYFUNCTION("""COMPUTED_VALUE"""),0.0)</f>
        <v>0</v>
      </c>
      <c r="L3" s="20" t="b">
        <v>0</v>
      </c>
    </row>
    <row r="4">
      <c r="A4" s="17">
        <f>IFERROR(__xludf.DUMMYFUNCTION("""COMPUTED_VALUE"""),2.0265015E7)</f>
        <v>20265015</v>
      </c>
      <c r="B4" s="17" t="str">
        <f>IFERROR(__xludf.DUMMYFUNCTION("""COMPUTED_VALUE"""),"Robert Kissell")</f>
        <v>Robert Kissell</v>
      </c>
      <c r="C4" s="17" t="b">
        <f>IFERROR(__xludf.DUMMYFUNCTION("""COMPUTED_VALUE"""),TRUE)</f>
        <v>1</v>
      </c>
      <c r="D4" s="18">
        <f>IFERROR(__xludf.DUMMYFUNCTION("""COMPUTED_VALUE"""),0.3724569529598942)</f>
        <v>0.372456953</v>
      </c>
      <c r="E4" s="19">
        <f>IFERROR(__xludf.DUMMYFUNCTION("""COMPUTED_VALUE"""),11560.0)</f>
        <v>11560</v>
      </c>
      <c r="F4" s="19">
        <f>IFERROR(__xludf.DUMMYFUNCTION("""COMPUTED_VALUE"""),2607.0599999999995)</f>
        <v>2607.06</v>
      </c>
      <c r="G4" s="19">
        <f>IFERROR(__xludf.DUMMYFUNCTION("""COMPUTED_VALUE"""),14167.06)</f>
        <v>14167.06</v>
      </c>
      <c r="H4" s="19">
        <f>IFERROR(__xludf.DUMMYFUNCTION("""COMPUTED_VALUE"""),14167.06)</f>
        <v>14167.06</v>
      </c>
      <c r="I4" s="19">
        <f>IFERROR(__xludf.DUMMYFUNCTION("""COMPUTED_VALUE"""),708.3530000000001)</f>
        <v>708.353</v>
      </c>
      <c r="J4" s="19">
        <f>IFERROR(__xludf.DUMMYFUNCTION("""COMPUTED_VALUE"""),708.35)</f>
        <v>708.35</v>
      </c>
      <c r="K4" s="19">
        <f>IFERROR(__xludf.DUMMYFUNCTION("""COMPUTED_VALUE"""),0.0)</f>
        <v>0</v>
      </c>
      <c r="L4" s="20" t="b">
        <v>0</v>
      </c>
    </row>
    <row r="5">
      <c r="A5" s="14">
        <f>IFERROR(__xludf.DUMMYFUNCTION("""COMPUTED_VALUE"""),2.0265019E7)</f>
        <v>20265019</v>
      </c>
      <c r="B5" s="14" t="str">
        <f>IFERROR(__xludf.DUMMYFUNCTION("""COMPUTED_VALUE"""),"Amy  Hoff")</f>
        <v>Amy  Hoff</v>
      </c>
      <c r="C5" s="14" t="b">
        <f>IFERROR(__xludf.DUMMYFUNCTION("""COMPUTED_VALUE"""),FALSE)</f>
        <v>0</v>
      </c>
      <c r="D5" s="21" t="str">
        <f>IFERROR(__xludf.DUMMYFUNCTION("""COMPUTED_VALUE"""),"")</f>
        <v/>
      </c>
      <c r="E5" s="15">
        <f>IFERROR(__xludf.DUMMYFUNCTION("""COMPUTED_VALUE"""),5480.0)</f>
        <v>5480</v>
      </c>
      <c r="F5" s="15">
        <f>IFERROR(__xludf.DUMMYFUNCTION("""COMPUTED_VALUE"""),0.0)</f>
        <v>0</v>
      </c>
      <c r="G5" s="15">
        <f>IFERROR(__xludf.DUMMYFUNCTION("""COMPUTED_VALUE"""),0.0)</f>
        <v>0</v>
      </c>
      <c r="H5" s="15">
        <f>IFERROR(__xludf.DUMMYFUNCTION("""COMPUTED_VALUE"""),0.0)</f>
        <v>0</v>
      </c>
      <c r="I5" s="15">
        <f>IFERROR(__xludf.DUMMYFUNCTION("""COMPUTED_VALUE"""),274.0)</f>
        <v>274</v>
      </c>
      <c r="J5" s="15">
        <f>IFERROR(__xludf.DUMMYFUNCTION("""COMPUTED_VALUE"""),0.0)</f>
        <v>0</v>
      </c>
      <c r="K5" s="15">
        <f>IFERROR(__xludf.DUMMYFUNCTION("""COMPUTED_VALUE"""),0.0)</f>
        <v>0</v>
      </c>
      <c r="L5" s="14" t="b">
        <v>0</v>
      </c>
    </row>
    <row r="6">
      <c r="A6" s="17">
        <f>IFERROR(__xludf.DUMMYFUNCTION("""COMPUTED_VALUE"""),2.026502E7)</f>
        <v>20265020</v>
      </c>
      <c r="B6" s="17" t="str">
        <f>IFERROR(__xludf.DUMMYFUNCTION("""COMPUTED_VALUE"""),"Gianghua Gao")</f>
        <v>Gianghua Gao</v>
      </c>
      <c r="C6" s="17" t="b">
        <f>IFERROR(__xludf.DUMMYFUNCTION("""COMPUTED_VALUE"""),TRUE)</f>
        <v>1</v>
      </c>
      <c r="D6" s="18">
        <f>IFERROR(__xludf.DUMMYFUNCTION("""COMPUTED_VALUE"""),1.0)</f>
        <v>1</v>
      </c>
      <c r="E6" s="19">
        <f>IFERROR(__xludf.DUMMYFUNCTION("""COMPUTED_VALUE"""),590.0)</f>
        <v>590</v>
      </c>
      <c r="F6" s="19">
        <f>IFERROR(__xludf.DUMMYFUNCTION("""COMPUTED_VALUE"""),0.0)</f>
        <v>0</v>
      </c>
      <c r="G6" s="19">
        <f>IFERROR(__xludf.DUMMYFUNCTION("""COMPUTED_VALUE"""),590.0)</f>
        <v>590</v>
      </c>
      <c r="H6" s="19">
        <f>IFERROR(__xludf.DUMMYFUNCTION("""COMPUTED_VALUE"""),590.0)</f>
        <v>590</v>
      </c>
      <c r="I6" s="19">
        <f>IFERROR(__xludf.DUMMYFUNCTION("""COMPUTED_VALUE"""),29.5)</f>
        <v>29.5</v>
      </c>
      <c r="J6" s="19">
        <f>IFERROR(__xludf.DUMMYFUNCTION("""COMPUTED_VALUE"""),29.5)</f>
        <v>29.5</v>
      </c>
      <c r="K6" s="19">
        <f>IFERROR(__xludf.DUMMYFUNCTION("""COMPUTED_VALUE"""),0.0)</f>
        <v>0</v>
      </c>
      <c r="L6" s="20" t="b">
        <v>0</v>
      </c>
    </row>
    <row r="7">
      <c r="A7" s="17">
        <f>IFERROR(__xludf.DUMMYFUNCTION("""COMPUTED_VALUE"""),2.0265022E7)</f>
        <v>20265022</v>
      </c>
      <c r="B7" s="17" t="str">
        <f>IFERROR(__xludf.DUMMYFUNCTION("""COMPUTED_VALUE"""),"James  Lintz")</f>
        <v>James  Lintz</v>
      </c>
      <c r="C7" s="17" t="b">
        <f>IFERROR(__xludf.DUMMYFUNCTION("""COMPUTED_VALUE"""),TRUE)</f>
        <v>1</v>
      </c>
      <c r="D7" s="18">
        <f>IFERROR(__xludf.DUMMYFUNCTION("""COMPUTED_VALUE"""),1.0)</f>
        <v>1</v>
      </c>
      <c r="E7" s="19">
        <f>IFERROR(__xludf.DUMMYFUNCTION("""COMPUTED_VALUE"""),590.0)</f>
        <v>590</v>
      </c>
      <c r="F7" s="19">
        <f>IFERROR(__xludf.DUMMYFUNCTION("""COMPUTED_VALUE"""),0.0)</f>
        <v>0</v>
      </c>
      <c r="G7" s="19">
        <f>IFERROR(__xludf.DUMMYFUNCTION("""COMPUTED_VALUE"""),590.0)</f>
        <v>590</v>
      </c>
      <c r="H7" s="19">
        <f>IFERROR(__xludf.DUMMYFUNCTION("""COMPUTED_VALUE"""),590.0)</f>
        <v>590</v>
      </c>
      <c r="I7" s="19">
        <f>IFERROR(__xludf.DUMMYFUNCTION("""COMPUTED_VALUE"""),29.5)</f>
        <v>29.5</v>
      </c>
      <c r="J7" s="19">
        <f>IFERROR(__xludf.DUMMYFUNCTION("""COMPUTED_VALUE"""),29.5)</f>
        <v>29.5</v>
      </c>
      <c r="K7" s="19">
        <f>IFERROR(__xludf.DUMMYFUNCTION("""COMPUTED_VALUE"""),0.0)</f>
        <v>0</v>
      </c>
      <c r="L7" s="20" t="b">
        <v>0</v>
      </c>
    </row>
    <row r="8">
      <c r="A8" s="17">
        <f>IFERROR(__xludf.DUMMYFUNCTION("""COMPUTED_VALUE"""),2.0265025E7)</f>
        <v>20265025</v>
      </c>
      <c r="B8" s="17" t="str">
        <f>IFERROR(__xludf.DUMMYFUNCTION("""COMPUTED_VALUE"""),"Becky Fiessinger")</f>
        <v>Becky Fiessinger</v>
      </c>
      <c r="C8" s="17" t="b">
        <f>IFERROR(__xludf.DUMMYFUNCTION("""COMPUTED_VALUE"""),TRUE)</f>
        <v>1</v>
      </c>
      <c r="D8" s="18">
        <f>IFERROR(__xludf.DUMMYFUNCTION("""COMPUTED_VALUE"""),0.3677140062597809)</f>
        <v>0.3677140063</v>
      </c>
      <c r="E8" s="19">
        <f>IFERROR(__xludf.DUMMYFUNCTION("""COMPUTED_VALUE"""),24570.0)</f>
        <v>24570</v>
      </c>
      <c r="F8" s="19">
        <f>IFERROR(__xludf.DUMMYFUNCTION("""COMPUTED_VALUE"""),990.0)</f>
        <v>990</v>
      </c>
      <c r="G8" s="19">
        <f>IFERROR(__xludf.DUMMYFUNCTION("""COMPUTED_VALUE"""),25560.0)</f>
        <v>25560</v>
      </c>
      <c r="H8" s="19">
        <f>IFERROR(__xludf.DUMMYFUNCTION("""COMPUTED_VALUE"""),25560.0)</f>
        <v>25560</v>
      </c>
      <c r="I8" s="19">
        <f>IFERROR(__xludf.DUMMYFUNCTION("""COMPUTED_VALUE"""),1278.0)</f>
        <v>1278</v>
      </c>
      <c r="J8" s="19">
        <f>IFERROR(__xludf.DUMMYFUNCTION("""COMPUTED_VALUE"""),1278.0)</f>
        <v>1278</v>
      </c>
      <c r="K8" s="22">
        <f>IFERROR(__xludf.DUMMYFUNCTION("""COMPUTED_VALUE"""),0.0)</f>
        <v>0</v>
      </c>
      <c r="L8" s="20" t="b">
        <v>0</v>
      </c>
    </row>
    <row r="9">
      <c r="A9" s="14">
        <f>IFERROR(__xludf.DUMMYFUNCTION("""COMPUTED_VALUE"""),2.0265029E7)</f>
        <v>20265029</v>
      </c>
      <c r="B9" s="14" t="str">
        <f>IFERROR(__xludf.DUMMYFUNCTION("""COMPUTED_VALUE"""),"Joe Fiorita")</f>
        <v>Joe Fiorita</v>
      </c>
      <c r="C9" s="14" t="b">
        <f>IFERROR(__xludf.DUMMYFUNCTION("""COMPUTED_VALUE"""),FALSE)</f>
        <v>0</v>
      </c>
      <c r="D9" s="21">
        <f>IFERROR(__xludf.DUMMYFUNCTION("""COMPUTED_VALUE"""),0.5386190476190476)</f>
        <v>0.5386190476</v>
      </c>
      <c r="E9" s="15">
        <f>IFERROR(__xludf.DUMMYFUNCTION("""COMPUTED_VALUE"""),630.0)</f>
        <v>630</v>
      </c>
      <c r="F9" s="15">
        <f>IFERROR(__xludf.DUMMYFUNCTION("""COMPUTED_VALUE"""),0.0)</f>
        <v>0</v>
      </c>
      <c r="G9" s="15">
        <f>IFERROR(__xludf.DUMMYFUNCTION("""COMPUTED_VALUE"""),630.0)</f>
        <v>630</v>
      </c>
      <c r="H9" s="15">
        <f>IFERROR(__xludf.DUMMYFUNCTION("""COMPUTED_VALUE"""),0.0)</f>
        <v>0</v>
      </c>
      <c r="I9" s="15">
        <f>IFERROR(__xludf.DUMMYFUNCTION("""COMPUTED_VALUE"""),31.5)</f>
        <v>31.5</v>
      </c>
      <c r="J9" s="15">
        <f>IFERROR(__xludf.DUMMYFUNCTION("""COMPUTED_VALUE"""),0.0)</f>
        <v>0</v>
      </c>
      <c r="K9" s="15">
        <f>IFERROR(__xludf.DUMMYFUNCTION("""COMPUTED_VALUE"""),0.0)</f>
        <v>0</v>
      </c>
      <c r="L9" s="14" t="b">
        <v>0</v>
      </c>
    </row>
    <row r="10">
      <c r="A10" s="14">
        <f>IFERROR(__xludf.DUMMYFUNCTION("""COMPUTED_VALUE"""),2.026504E7)</f>
        <v>20265040</v>
      </c>
      <c r="B10" s="14" t="str">
        <f>IFERROR(__xludf.DUMMYFUNCTION("""COMPUTED_VALUE"""),"Kathie Abke")</f>
        <v>Kathie Abke</v>
      </c>
      <c r="C10" s="14" t="b">
        <f>IFERROR(__xludf.DUMMYFUNCTION("""COMPUTED_VALUE"""),FALSE)</f>
        <v>0</v>
      </c>
      <c r="D10" s="21">
        <f>IFERROR(__xludf.DUMMYFUNCTION("""COMPUTED_VALUE"""),1.0)</f>
        <v>1</v>
      </c>
      <c r="E10" s="15">
        <f>IFERROR(__xludf.DUMMYFUNCTION("""COMPUTED_VALUE"""),1430.0)</f>
        <v>1430</v>
      </c>
      <c r="F10" s="15">
        <f>IFERROR(__xludf.DUMMYFUNCTION("""COMPUTED_VALUE"""),0.0)</f>
        <v>0</v>
      </c>
      <c r="G10" s="15">
        <f>IFERROR(__xludf.DUMMYFUNCTION("""COMPUTED_VALUE"""),1430.0)</f>
        <v>1430</v>
      </c>
      <c r="H10" s="15">
        <f>IFERROR(__xludf.DUMMYFUNCTION("""COMPUTED_VALUE"""),0.0)</f>
        <v>0</v>
      </c>
      <c r="I10" s="15">
        <f>IFERROR(__xludf.DUMMYFUNCTION("""COMPUTED_VALUE"""),71.5)</f>
        <v>71.5</v>
      </c>
      <c r="J10" s="15">
        <f>IFERROR(__xludf.DUMMYFUNCTION("""COMPUTED_VALUE"""),0.0)</f>
        <v>0</v>
      </c>
      <c r="K10" s="15">
        <f>IFERROR(__xludf.DUMMYFUNCTION("""COMPUTED_VALUE"""),0.0)</f>
        <v>0</v>
      </c>
      <c r="L10" s="14" t="b">
        <v>0</v>
      </c>
    </row>
    <row r="11">
      <c r="A11" s="14">
        <f>IFERROR(__xludf.DUMMYFUNCTION("""COMPUTED_VALUE"""),2.0265062E7)</f>
        <v>20265062</v>
      </c>
      <c r="B11" s="14" t="str">
        <f>IFERROR(__xludf.DUMMYFUNCTION("""COMPUTED_VALUE"""),"Michelle Strickland")</f>
        <v>Michelle Strickland</v>
      </c>
      <c r="C11" s="14" t="b">
        <f>IFERROR(__xludf.DUMMYFUNCTION("""COMPUTED_VALUE"""),FALSE)</f>
        <v>0</v>
      </c>
      <c r="D11" s="21" t="str">
        <f>IFERROR(__xludf.DUMMYFUNCTION("""COMPUTED_VALUE"""),"")</f>
        <v/>
      </c>
      <c r="E11" s="15">
        <f>IFERROR(__xludf.DUMMYFUNCTION("""COMPUTED_VALUE"""),0.0)</f>
        <v>0</v>
      </c>
      <c r="F11" s="15">
        <f>IFERROR(__xludf.DUMMYFUNCTION("""COMPUTED_VALUE"""),0.0)</f>
        <v>0</v>
      </c>
      <c r="G11" s="15">
        <f>IFERROR(__xludf.DUMMYFUNCTION("""COMPUTED_VALUE"""),0.0)</f>
        <v>0</v>
      </c>
      <c r="H11" s="15">
        <f>IFERROR(__xludf.DUMMYFUNCTION("""COMPUTED_VALUE"""),0.0)</f>
        <v>0</v>
      </c>
      <c r="I11" s="15">
        <f>IFERROR(__xludf.DUMMYFUNCTION("""COMPUTED_VALUE"""),0.0)</f>
        <v>0</v>
      </c>
      <c r="J11" s="15">
        <f>IFERROR(__xludf.DUMMYFUNCTION("""COMPUTED_VALUE"""),0.0)</f>
        <v>0</v>
      </c>
      <c r="K11" s="15">
        <f>IFERROR(__xludf.DUMMYFUNCTION("""COMPUTED_VALUE"""),0.0)</f>
        <v>0</v>
      </c>
      <c r="L11" s="14" t="b">
        <v>0</v>
      </c>
    </row>
    <row r="12">
      <c r="A12" s="14">
        <f>IFERROR(__xludf.DUMMYFUNCTION("""COMPUTED_VALUE"""),2.0265066E7)</f>
        <v>20265066</v>
      </c>
      <c r="B12" s="14" t="str">
        <f>IFERROR(__xludf.DUMMYFUNCTION("""COMPUTED_VALUE"""),"INS - Steve Creager")</f>
        <v>INS - Steve Creager</v>
      </c>
      <c r="C12" s="14" t="b">
        <f>IFERROR(__xludf.DUMMYFUNCTION("""COMPUTED_VALUE"""),FALSE)</f>
        <v>0</v>
      </c>
      <c r="D12" s="21" t="str">
        <f>IFERROR(__xludf.DUMMYFUNCTION("""COMPUTED_VALUE"""),"")</f>
        <v/>
      </c>
      <c r="E12" s="15">
        <f>IFERROR(__xludf.DUMMYFUNCTION("""COMPUTED_VALUE"""),1190.0)</f>
        <v>1190</v>
      </c>
      <c r="F12" s="15">
        <f>IFERROR(__xludf.DUMMYFUNCTION("""COMPUTED_VALUE"""),0.0)</f>
        <v>0</v>
      </c>
      <c r="G12" s="15">
        <f>IFERROR(__xludf.DUMMYFUNCTION("""COMPUTED_VALUE"""),0.0)</f>
        <v>0</v>
      </c>
      <c r="H12" s="15">
        <f>IFERROR(__xludf.DUMMYFUNCTION("""COMPUTED_VALUE"""),0.0)</f>
        <v>0</v>
      </c>
      <c r="I12" s="15">
        <f>IFERROR(__xludf.DUMMYFUNCTION("""COMPUTED_VALUE"""),59.5)</f>
        <v>59.5</v>
      </c>
      <c r="J12" s="15">
        <f>IFERROR(__xludf.DUMMYFUNCTION("""COMPUTED_VALUE"""),0.0)</f>
        <v>0</v>
      </c>
      <c r="K12" s="15">
        <f>IFERROR(__xludf.DUMMYFUNCTION("""COMPUTED_VALUE"""),0.0)</f>
        <v>0</v>
      </c>
      <c r="L12" s="14" t="b">
        <v>0</v>
      </c>
    </row>
    <row r="13">
      <c r="A13" s="14">
        <f>IFERROR(__xludf.DUMMYFUNCTION("""COMPUTED_VALUE"""),2.0265069E7)</f>
        <v>20265069</v>
      </c>
      <c r="B13" s="14" t="str">
        <f>IFERROR(__xludf.DUMMYFUNCTION("""COMPUTED_VALUE"""),"Dana Roberts - siding repair")</f>
        <v>Dana Roberts - siding repair</v>
      </c>
      <c r="C13" s="14" t="b">
        <f>IFERROR(__xludf.DUMMYFUNCTION("""COMPUTED_VALUE"""),FALSE)</f>
        <v>0</v>
      </c>
      <c r="D13" s="21" t="str">
        <f>IFERROR(__xludf.DUMMYFUNCTION("""COMPUTED_VALUE"""),"")</f>
        <v/>
      </c>
      <c r="E13" s="15">
        <f>IFERROR(__xludf.DUMMYFUNCTION("""COMPUTED_VALUE"""),707.5)</f>
        <v>707.5</v>
      </c>
      <c r="F13" s="15">
        <f>IFERROR(__xludf.DUMMYFUNCTION("""COMPUTED_VALUE"""),0.0)</f>
        <v>0</v>
      </c>
      <c r="G13" s="15">
        <f>IFERROR(__xludf.DUMMYFUNCTION("""COMPUTED_VALUE"""),0.0)</f>
        <v>0</v>
      </c>
      <c r="H13" s="15">
        <f>IFERROR(__xludf.DUMMYFUNCTION("""COMPUTED_VALUE"""),0.0)</f>
        <v>0</v>
      </c>
      <c r="I13" s="15">
        <f>IFERROR(__xludf.DUMMYFUNCTION("""COMPUTED_VALUE"""),35.375)</f>
        <v>35.375</v>
      </c>
      <c r="J13" s="15">
        <f>IFERROR(__xludf.DUMMYFUNCTION("""COMPUTED_VALUE"""),0.0)</f>
        <v>0</v>
      </c>
      <c r="K13" s="15">
        <f>IFERROR(__xludf.DUMMYFUNCTION("""COMPUTED_VALUE"""),0.0)</f>
        <v>0</v>
      </c>
      <c r="L13" s="14" t="b">
        <v>0</v>
      </c>
    </row>
    <row r="14">
      <c r="A14" s="14">
        <f>IFERROR(__xludf.DUMMYFUNCTION("""COMPUTED_VALUE"""),2.026507E7)</f>
        <v>20265070</v>
      </c>
      <c r="B14" s="14" t="str">
        <f>IFERROR(__xludf.DUMMYFUNCTION("""COMPUTED_VALUE"""),"INS - Ashley Dean")</f>
        <v>INS - Ashley Dean</v>
      </c>
      <c r="C14" s="14" t="b">
        <f>IFERROR(__xludf.DUMMYFUNCTION("""COMPUTED_VALUE"""),FALSE)</f>
        <v>0</v>
      </c>
      <c r="D14" s="21" t="str">
        <f>IFERROR(__xludf.DUMMYFUNCTION("""COMPUTED_VALUE"""),"")</f>
        <v/>
      </c>
      <c r="E14" s="15">
        <f>IFERROR(__xludf.DUMMYFUNCTION("""COMPUTED_VALUE"""),0.0)</f>
        <v>0</v>
      </c>
      <c r="F14" s="15">
        <f>IFERROR(__xludf.DUMMYFUNCTION("""COMPUTED_VALUE"""),0.0)</f>
        <v>0</v>
      </c>
      <c r="G14" s="15">
        <f>IFERROR(__xludf.DUMMYFUNCTION("""COMPUTED_VALUE"""),750.0)</f>
        <v>750</v>
      </c>
      <c r="H14" s="15">
        <f>IFERROR(__xludf.DUMMYFUNCTION("""COMPUTED_VALUE"""),0.0)</f>
        <v>0</v>
      </c>
      <c r="I14" s="15">
        <f>IFERROR(__xludf.DUMMYFUNCTION("""COMPUTED_VALUE"""),0.0)</f>
        <v>0</v>
      </c>
      <c r="J14" s="15">
        <f>IFERROR(__xludf.DUMMYFUNCTION("""COMPUTED_VALUE"""),0.0)</f>
        <v>0</v>
      </c>
      <c r="K14" s="15">
        <f>IFERROR(__xludf.DUMMYFUNCTION("""COMPUTED_VALUE"""),0.0)</f>
        <v>0</v>
      </c>
      <c r="L14" s="14" t="b">
        <v>0</v>
      </c>
    </row>
    <row r="15">
      <c r="A15" s="14">
        <f>IFERROR(__xludf.DUMMYFUNCTION("""COMPUTED_VALUE"""),2.0265072E7)</f>
        <v>20265072</v>
      </c>
      <c r="B15" s="14" t="str">
        <f>IFERROR(__xludf.DUMMYFUNCTION("""COMPUTED_VALUE"""),"Justin Oeder")</f>
        <v>Justin Oeder</v>
      </c>
      <c r="C15" s="14" t="b">
        <f>IFERROR(__xludf.DUMMYFUNCTION("""COMPUTED_VALUE"""),FALSE)</f>
        <v>0</v>
      </c>
      <c r="D15" s="21">
        <f>IFERROR(__xludf.DUMMYFUNCTION("""COMPUTED_VALUE"""),0.588477366255144)</f>
        <v>0.5884773663</v>
      </c>
      <c r="E15" s="15">
        <f>IFERROR(__xludf.DUMMYFUNCTION("""COMPUTED_VALUE"""),607.5)</f>
        <v>607.5</v>
      </c>
      <c r="F15" s="15">
        <f>IFERROR(__xludf.DUMMYFUNCTION("""COMPUTED_VALUE"""),0.0)</f>
        <v>0</v>
      </c>
      <c r="G15" s="15">
        <f>IFERROR(__xludf.DUMMYFUNCTION("""COMPUTED_VALUE"""),607.5)</f>
        <v>607.5</v>
      </c>
      <c r="H15" s="15">
        <f>IFERROR(__xludf.DUMMYFUNCTION("""COMPUTED_VALUE"""),0.0)</f>
        <v>0</v>
      </c>
      <c r="I15" s="15">
        <f>IFERROR(__xludf.DUMMYFUNCTION("""COMPUTED_VALUE"""),30.375)</f>
        <v>30.375</v>
      </c>
      <c r="J15" s="15">
        <f>IFERROR(__xludf.DUMMYFUNCTION("""COMPUTED_VALUE"""),0.0)</f>
        <v>0</v>
      </c>
      <c r="K15" s="15">
        <f>IFERROR(__xludf.DUMMYFUNCTION("""COMPUTED_VALUE"""),0.0)</f>
        <v>0</v>
      </c>
      <c r="L15" s="14" t="b">
        <v>0</v>
      </c>
    </row>
    <row r="16">
      <c r="A16" s="14">
        <f>IFERROR(__xludf.DUMMYFUNCTION("""COMPUTED_VALUE"""),2.0265074E7)</f>
        <v>20265074</v>
      </c>
      <c r="B16" s="14" t="str">
        <f>IFERROR(__xludf.DUMMYFUNCTION("""COMPUTED_VALUE"""),"INS - Brad Burtus")</f>
        <v>INS - Brad Burtus</v>
      </c>
      <c r="C16" s="14" t="b">
        <f>IFERROR(__xludf.DUMMYFUNCTION("""COMPUTED_VALUE"""),FALSE)</f>
        <v>0</v>
      </c>
      <c r="D16" s="21" t="str">
        <f>IFERROR(__xludf.DUMMYFUNCTION("""COMPUTED_VALUE"""),"")</f>
        <v/>
      </c>
      <c r="E16" s="15">
        <f>IFERROR(__xludf.DUMMYFUNCTION("""COMPUTED_VALUE"""),0.0)</f>
        <v>0</v>
      </c>
      <c r="F16" s="15">
        <f>IFERROR(__xludf.DUMMYFUNCTION("""COMPUTED_VALUE"""),0.0)</f>
        <v>0</v>
      </c>
      <c r="G16" s="15">
        <f>IFERROR(__xludf.DUMMYFUNCTION("""COMPUTED_VALUE"""),550.0)</f>
        <v>550</v>
      </c>
      <c r="H16" s="15">
        <f>IFERROR(__xludf.DUMMYFUNCTION("""COMPUTED_VALUE"""),0.0)</f>
        <v>0</v>
      </c>
      <c r="I16" s="15">
        <f>IFERROR(__xludf.DUMMYFUNCTION("""COMPUTED_VALUE"""),0.0)</f>
        <v>0</v>
      </c>
      <c r="J16" s="15">
        <f>IFERROR(__xludf.DUMMYFUNCTION("""COMPUTED_VALUE"""),0.0)</f>
        <v>0</v>
      </c>
      <c r="K16" s="15">
        <f>IFERROR(__xludf.DUMMYFUNCTION("""COMPUTED_VALUE"""),0.0)</f>
        <v>0</v>
      </c>
      <c r="L16" s="14" t="b">
        <v>0</v>
      </c>
    </row>
    <row r="17">
      <c r="A17" s="14">
        <f>IFERROR(__xludf.DUMMYFUNCTION("""COMPUTED_VALUE"""),2.0265076E7)</f>
        <v>20265076</v>
      </c>
      <c r="B17" s="14" t="str">
        <f>IFERROR(__xludf.DUMMYFUNCTION("""COMPUTED_VALUE"""),"Louden Saulbeamer")</f>
        <v>Louden Saulbeamer</v>
      </c>
      <c r="C17" s="14" t="b">
        <f>IFERROR(__xludf.DUMMYFUNCTION("""COMPUTED_VALUE"""),FALSE)</f>
        <v>0</v>
      </c>
      <c r="D17" s="21">
        <f>IFERROR(__xludf.DUMMYFUNCTION("""COMPUTED_VALUE"""),0.4957983193277311)</f>
        <v>0.4957983193</v>
      </c>
      <c r="E17" s="15">
        <f>IFERROR(__xludf.DUMMYFUNCTION("""COMPUTED_VALUE"""),1190.0)</f>
        <v>1190</v>
      </c>
      <c r="F17" s="15">
        <f>IFERROR(__xludf.DUMMYFUNCTION("""COMPUTED_VALUE"""),0.0)</f>
        <v>0</v>
      </c>
      <c r="G17" s="15">
        <f>IFERROR(__xludf.DUMMYFUNCTION("""COMPUTED_VALUE"""),1190.0)</f>
        <v>1190</v>
      </c>
      <c r="H17" s="15">
        <f>IFERROR(__xludf.DUMMYFUNCTION("""COMPUTED_VALUE"""),0.0)</f>
        <v>0</v>
      </c>
      <c r="I17" s="15">
        <f>IFERROR(__xludf.DUMMYFUNCTION("""COMPUTED_VALUE"""),59.5)</f>
        <v>59.5</v>
      </c>
      <c r="J17" s="15">
        <f>IFERROR(__xludf.DUMMYFUNCTION("""COMPUTED_VALUE"""),0.0)</f>
        <v>0</v>
      </c>
      <c r="K17" s="15">
        <f>IFERROR(__xludf.DUMMYFUNCTION("""COMPUTED_VALUE"""),0.0)</f>
        <v>0</v>
      </c>
      <c r="L17" s="14" t="b">
        <v>0</v>
      </c>
    </row>
    <row r="18">
      <c r="A18" s="14">
        <f>IFERROR(__xludf.DUMMYFUNCTION("""COMPUTED_VALUE"""),2.026508E7)</f>
        <v>20265080</v>
      </c>
      <c r="B18" s="14" t="str">
        <f>IFERROR(__xludf.DUMMYFUNCTION("""COMPUTED_VALUE"""),"Vince Baldasare - siding repair")</f>
        <v>Vince Baldasare - siding repair</v>
      </c>
      <c r="C18" s="14" t="b">
        <f>IFERROR(__xludf.DUMMYFUNCTION("""COMPUTED_VALUE"""),FALSE)</f>
        <v>0</v>
      </c>
      <c r="D18" s="21">
        <f>IFERROR(__xludf.DUMMYFUNCTION("""COMPUTED_VALUE"""),0.5542164179104477)</f>
        <v>0.5542164179</v>
      </c>
      <c r="E18" s="15">
        <f>IFERROR(__xludf.DUMMYFUNCTION("""COMPUTED_VALUE"""),1340.0)</f>
        <v>1340</v>
      </c>
      <c r="F18" s="15">
        <f>IFERROR(__xludf.DUMMYFUNCTION("""COMPUTED_VALUE"""),0.0)</f>
        <v>0</v>
      </c>
      <c r="G18" s="15">
        <f>IFERROR(__xludf.DUMMYFUNCTION("""COMPUTED_VALUE"""),1340.0)</f>
        <v>1340</v>
      </c>
      <c r="H18" s="15">
        <f>IFERROR(__xludf.DUMMYFUNCTION("""COMPUTED_VALUE"""),0.0)</f>
        <v>0</v>
      </c>
      <c r="I18" s="15">
        <f>IFERROR(__xludf.DUMMYFUNCTION("""COMPUTED_VALUE"""),67.0)</f>
        <v>67</v>
      </c>
      <c r="J18" s="15">
        <f>IFERROR(__xludf.DUMMYFUNCTION("""COMPUTED_VALUE"""),0.0)</f>
        <v>0</v>
      </c>
      <c r="K18" s="15">
        <f>IFERROR(__xludf.DUMMYFUNCTION("""COMPUTED_VALUE"""),0.0)</f>
        <v>0</v>
      </c>
      <c r="L18" s="14" t="b">
        <v>0</v>
      </c>
    </row>
    <row r="19">
      <c r="A19" s="14">
        <f>IFERROR(__xludf.DUMMYFUNCTION("""COMPUTED_VALUE"""),2.0265091E7)</f>
        <v>20265091</v>
      </c>
      <c r="B19" s="14" t="str">
        <f>IFERROR(__xludf.DUMMYFUNCTION("""COMPUTED_VALUE"""),"Kyle Knoop")</f>
        <v>Kyle Knoop</v>
      </c>
      <c r="C19" s="14" t="b">
        <f>IFERROR(__xludf.DUMMYFUNCTION("""COMPUTED_VALUE"""),FALSE)</f>
        <v>0</v>
      </c>
      <c r="D19" s="21" t="str">
        <f>IFERROR(__xludf.DUMMYFUNCTION("""COMPUTED_VALUE"""),"")</f>
        <v/>
      </c>
      <c r="E19" s="15">
        <f>IFERROR(__xludf.DUMMYFUNCTION("""COMPUTED_VALUE"""),0.0)</f>
        <v>0</v>
      </c>
      <c r="F19" s="15">
        <f>IFERROR(__xludf.DUMMYFUNCTION("""COMPUTED_VALUE"""),0.0)</f>
        <v>0</v>
      </c>
      <c r="G19" s="15">
        <f>IFERROR(__xludf.DUMMYFUNCTION("""COMPUTED_VALUE"""),0.0)</f>
        <v>0</v>
      </c>
      <c r="H19" s="15">
        <f>IFERROR(__xludf.DUMMYFUNCTION("""COMPUTED_VALUE"""),0.0)</f>
        <v>0</v>
      </c>
      <c r="I19" s="15">
        <f>IFERROR(__xludf.DUMMYFUNCTION("""COMPUTED_VALUE"""),0.0)</f>
        <v>0</v>
      </c>
      <c r="J19" s="15">
        <f>IFERROR(__xludf.DUMMYFUNCTION("""COMPUTED_VALUE"""),0.0)</f>
        <v>0</v>
      </c>
      <c r="K19" s="15">
        <f>IFERROR(__xludf.DUMMYFUNCTION("""COMPUTED_VALUE"""),0.0)</f>
        <v>0</v>
      </c>
      <c r="L19" s="14" t="b">
        <v>0</v>
      </c>
    </row>
    <row r="20">
      <c r="A20" s="14">
        <f>IFERROR(__xludf.DUMMYFUNCTION("""COMPUTED_VALUE"""),2.0265092E7)</f>
        <v>20265092</v>
      </c>
      <c r="B20" s="14" t="str">
        <f>IFERROR(__xludf.DUMMYFUNCTION("""COMPUTED_VALUE"""),"Adam Bushmich")</f>
        <v>Adam Bushmich</v>
      </c>
      <c r="C20" s="14" t="b">
        <f>IFERROR(__xludf.DUMMYFUNCTION("""COMPUTED_VALUE"""),FALSE)</f>
        <v>0</v>
      </c>
      <c r="D20" s="21">
        <f>IFERROR(__xludf.DUMMYFUNCTION("""COMPUTED_VALUE"""),0.5942028985507246)</f>
        <v>0.5942028986</v>
      </c>
      <c r="E20" s="15">
        <f>IFERROR(__xludf.DUMMYFUNCTION("""COMPUTED_VALUE"""),690.0)</f>
        <v>690</v>
      </c>
      <c r="F20" s="15">
        <f>IFERROR(__xludf.DUMMYFUNCTION("""COMPUTED_VALUE"""),0.0)</f>
        <v>0</v>
      </c>
      <c r="G20" s="15">
        <f>IFERROR(__xludf.DUMMYFUNCTION("""COMPUTED_VALUE"""),690.0)</f>
        <v>690</v>
      </c>
      <c r="H20" s="15">
        <f>IFERROR(__xludf.DUMMYFUNCTION("""COMPUTED_VALUE"""),0.0)</f>
        <v>0</v>
      </c>
      <c r="I20" s="15">
        <f>IFERROR(__xludf.DUMMYFUNCTION("""COMPUTED_VALUE"""),34.5)</f>
        <v>34.5</v>
      </c>
      <c r="J20" s="15">
        <f>IFERROR(__xludf.DUMMYFUNCTION("""COMPUTED_VALUE"""),0.0)</f>
        <v>0</v>
      </c>
      <c r="K20" s="15">
        <f>IFERROR(__xludf.DUMMYFUNCTION("""COMPUTED_VALUE"""),0.0)</f>
        <v>0</v>
      </c>
      <c r="L20" s="14" t="b">
        <v>0</v>
      </c>
    </row>
    <row r="21">
      <c r="A21" s="14">
        <f>IFERROR(__xludf.DUMMYFUNCTION("""COMPUTED_VALUE"""),2.0265093E7)</f>
        <v>20265093</v>
      </c>
      <c r="B21" s="14" t="str">
        <f>IFERROR(__xludf.DUMMYFUNCTION("""COMPUTED_VALUE"""),"INS - Aaron Hansgen")</f>
        <v>INS - Aaron Hansgen</v>
      </c>
      <c r="C21" s="14" t="b">
        <f>IFERROR(__xludf.DUMMYFUNCTION("""COMPUTED_VALUE"""),FALSE)</f>
        <v>0</v>
      </c>
      <c r="D21" s="21" t="str">
        <f>IFERROR(__xludf.DUMMYFUNCTION("""COMPUTED_VALUE"""),"")</f>
        <v/>
      </c>
      <c r="E21" s="15">
        <f>IFERROR(__xludf.DUMMYFUNCTION("""COMPUTED_VALUE"""),0.0)</f>
        <v>0</v>
      </c>
      <c r="F21" s="15">
        <f>IFERROR(__xludf.DUMMYFUNCTION("""COMPUTED_VALUE"""),0.0)</f>
        <v>0</v>
      </c>
      <c r="G21" s="15">
        <f>IFERROR(__xludf.DUMMYFUNCTION("""COMPUTED_VALUE"""),0.0)</f>
        <v>0</v>
      </c>
      <c r="H21" s="15">
        <f>IFERROR(__xludf.DUMMYFUNCTION("""COMPUTED_VALUE"""),0.0)</f>
        <v>0</v>
      </c>
      <c r="I21" s="15">
        <f>IFERROR(__xludf.DUMMYFUNCTION("""COMPUTED_VALUE"""),0.0)</f>
        <v>0</v>
      </c>
      <c r="J21" s="15">
        <f>IFERROR(__xludf.DUMMYFUNCTION("""COMPUTED_VALUE"""),0.0)</f>
        <v>0</v>
      </c>
      <c r="K21" s="15">
        <f>IFERROR(__xludf.DUMMYFUNCTION("""COMPUTED_VALUE"""),0.0)</f>
        <v>0</v>
      </c>
      <c r="L21" s="14" t="b">
        <v>0</v>
      </c>
    </row>
    <row r="22">
      <c r="A22" s="14">
        <f>IFERROR(__xludf.DUMMYFUNCTION("""COMPUTED_VALUE"""),2.0265106E7)</f>
        <v>20265106</v>
      </c>
      <c r="B22" s="14" t="str">
        <f>IFERROR(__xludf.DUMMYFUNCTION("""COMPUTED_VALUE"""),"Mark Ecton ")</f>
        <v>Mark Ecton </v>
      </c>
      <c r="C22" s="14" t="b">
        <f>IFERROR(__xludf.DUMMYFUNCTION("""COMPUTED_VALUE"""),FALSE)</f>
        <v>0</v>
      </c>
      <c r="D22" s="21" t="str">
        <f>IFERROR(__xludf.DUMMYFUNCTION("""COMPUTED_VALUE"""),"")</f>
        <v/>
      </c>
      <c r="E22" s="15">
        <f>IFERROR(__xludf.DUMMYFUNCTION("""COMPUTED_VALUE"""),593.0)</f>
        <v>593</v>
      </c>
      <c r="F22" s="15">
        <f>IFERROR(__xludf.DUMMYFUNCTION("""COMPUTED_VALUE"""),0.0)</f>
        <v>0</v>
      </c>
      <c r="G22" s="15">
        <f>IFERROR(__xludf.DUMMYFUNCTION("""COMPUTED_VALUE"""),0.0)</f>
        <v>0</v>
      </c>
      <c r="H22" s="15">
        <f>IFERROR(__xludf.DUMMYFUNCTION("""COMPUTED_VALUE"""),0.0)</f>
        <v>0</v>
      </c>
      <c r="I22" s="15">
        <f>IFERROR(__xludf.DUMMYFUNCTION("""COMPUTED_VALUE"""),29.650000000000002)</f>
        <v>29.65</v>
      </c>
      <c r="J22" s="15">
        <f>IFERROR(__xludf.DUMMYFUNCTION("""COMPUTED_VALUE"""),0.0)</f>
        <v>0</v>
      </c>
      <c r="K22" s="15">
        <f>IFERROR(__xludf.DUMMYFUNCTION("""COMPUTED_VALUE"""),0.0)</f>
        <v>0</v>
      </c>
      <c r="L22" s="14" t="b">
        <v>0</v>
      </c>
    </row>
    <row r="23">
      <c r="A23" s="14">
        <f>IFERROR(__xludf.DUMMYFUNCTION("""COMPUTED_VALUE"""),2.0265113E7)</f>
        <v>20265113</v>
      </c>
      <c r="B23" s="14" t="str">
        <f>IFERROR(__xludf.DUMMYFUNCTION("""COMPUTED_VALUE"""),"John Bridgman")</f>
        <v>John Bridgman</v>
      </c>
      <c r="C23" s="14" t="b">
        <f>IFERROR(__xludf.DUMMYFUNCTION("""COMPUTED_VALUE"""),FALSE)</f>
        <v>0</v>
      </c>
      <c r="D23" s="21" t="str">
        <f>IFERROR(__xludf.DUMMYFUNCTION("""COMPUTED_VALUE"""),"")</f>
        <v/>
      </c>
      <c r="E23" s="15">
        <f>IFERROR(__xludf.DUMMYFUNCTION("""COMPUTED_VALUE"""),4619.44)</f>
        <v>4619.44</v>
      </c>
      <c r="F23" s="15">
        <f>IFERROR(__xludf.DUMMYFUNCTION("""COMPUTED_VALUE"""),0.0)</f>
        <v>0</v>
      </c>
      <c r="G23" s="15">
        <f>IFERROR(__xludf.DUMMYFUNCTION("""COMPUTED_VALUE"""),0.0)</f>
        <v>0</v>
      </c>
      <c r="H23" s="15">
        <f>IFERROR(__xludf.DUMMYFUNCTION("""COMPUTED_VALUE"""),0.0)</f>
        <v>0</v>
      </c>
      <c r="I23" s="15">
        <f>IFERROR(__xludf.DUMMYFUNCTION("""COMPUTED_VALUE"""),230.97199999999998)</f>
        <v>230.972</v>
      </c>
      <c r="J23" s="15">
        <f>IFERROR(__xludf.DUMMYFUNCTION("""COMPUTED_VALUE"""),0.0)</f>
        <v>0</v>
      </c>
      <c r="K23" s="15">
        <f>IFERROR(__xludf.DUMMYFUNCTION("""COMPUTED_VALUE"""),0.0)</f>
        <v>0</v>
      </c>
      <c r="L23" s="14" t="b">
        <v>0</v>
      </c>
    </row>
    <row r="24">
      <c r="A24" s="14">
        <f>IFERROR(__xludf.DUMMYFUNCTION("""COMPUTED_VALUE"""),2.0265115E7)</f>
        <v>20265115</v>
      </c>
      <c r="B24" s="14" t="str">
        <f>IFERROR(__xludf.DUMMYFUNCTION("""COMPUTED_VALUE"""),"David Thomas")</f>
        <v>David Thomas</v>
      </c>
      <c r="C24" s="14" t="b">
        <f>IFERROR(__xludf.DUMMYFUNCTION("""COMPUTED_VALUE"""),FALSE)</f>
        <v>0</v>
      </c>
      <c r="D24" s="21" t="str">
        <f>IFERROR(__xludf.DUMMYFUNCTION("""COMPUTED_VALUE"""),"")</f>
        <v/>
      </c>
      <c r="E24" s="15">
        <f>IFERROR(__xludf.DUMMYFUNCTION("""COMPUTED_VALUE"""),834.0)</f>
        <v>834</v>
      </c>
      <c r="F24" s="15">
        <f>IFERROR(__xludf.DUMMYFUNCTION("""COMPUTED_VALUE"""),0.0)</f>
        <v>0</v>
      </c>
      <c r="G24" s="15">
        <f>IFERROR(__xludf.DUMMYFUNCTION("""COMPUTED_VALUE"""),0.0)</f>
        <v>0</v>
      </c>
      <c r="H24" s="15">
        <f>IFERROR(__xludf.DUMMYFUNCTION("""COMPUTED_VALUE"""),0.0)</f>
        <v>0</v>
      </c>
      <c r="I24" s="15">
        <f>IFERROR(__xludf.DUMMYFUNCTION("""COMPUTED_VALUE"""),41.7)</f>
        <v>41.7</v>
      </c>
      <c r="J24" s="15">
        <f>IFERROR(__xludf.DUMMYFUNCTION("""COMPUTED_VALUE"""),0.0)</f>
        <v>0</v>
      </c>
      <c r="K24" s="15">
        <f>IFERROR(__xludf.DUMMYFUNCTION("""COMPUTED_VALUE"""),0.0)</f>
        <v>0</v>
      </c>
      <c r="L24" s="14" t="b">
        <v>0</v>
      </c>
    </row>
    <row r="25">
      <c r="A25" s="14">
        <f>IFERROR(__xludf.DUMMYFUNCTION("""COMPUTED_VALUE"""),2.0265128E7)</f>
        <v>20265128</v>
      </c>
      <c r="B25" s="14" t="str">
        <f>IFERROR(__xludf.DUMMYFUNCTION("""COMPUTED_VALUE"""),"Ben Boche")</f>
        <v>Ben Boche</v>
      </c>
      <c r="C25" s="14" t="b">
        <f>IFERROR(__xludf.DUMMYFUNCTION("""COMPUTED_VALUE"""),FALSE)</f>
        <v>0</v>
      </c>
      <c r="D25" s="21" t="str">
        <f>IFERROR(__xludf.DUMMYFUNCTION("""COMPUTED_VALUE"""),"")</f>
        <v/>
      </c>
      <c r="E25" s="15">
        <f>IFERROR(__xludf.DUMMYFUNCTION("""COMPUTED_VALUE"""),820.0)</f>
        <v>820</v>
      </c>
      <c r="F25" s="15">
        <f>IFERROR(__xludf.DUMMYFUNCTION("""COMPUTED_VALUE"""),0.0)</f>
        <v>0</v>
      </c>
      <c r="G25" s="15">
        <f>IFERROR(__xludf.DUMMYFUNCTION("""COMPUTED_VALUE"""),0.0)</f>
        <v>0</v>
      </c>
      <c r="H25" s="15">
        <f>IFERROR(__xludf.DUMMYFUNCTION("""COMPUTED_VALUE"""),0.0)</f>
        <v>0</v>
      </c>
      <c r="I25" s="15">
        <f>IFERROR(__xludf.DUMMYFUNCTION("""COMPUTED_VALUE"""),41.0)</f>
        <v>41</v>
      </c>
      <c r="J25" s="15">
        <f>IFERROR(__xludf.DUMMYFUNCTION("""COMPUTED_VALUE"""),0.0)</f>
        <v>0</v>
      </c>
      <c r="K25" s="15">
        <f>IFERROR(__xludf.DUMMYFUNCTION("""COMPUTED_VALUE"""),0.0)</f>
        <v>0</v>
      </c>
      <c r="L25" s="14" t="b">
        <v>0</v>
      </c>
    </row>
    <row r="26">
      <c r="A26" s="14">
        <f>IFERROR(__xludf.DUMMYFUNCTION("""COMPUTED_VALUE"""),2.0265129E7)</f>
        <v>20265129</v>
      </c>
      <c r="B26" s="14" t="str">
        <f>IFERROR(__xludf.DUMMYFUNCTION("""COMPUTED_VALUE"""),"Shrishail Nashi")</f>
        <v>Shrishail Nashi</v>
      </c>
      <c r="C26" s="14" t="b">
        <f>IFERROR(__xludf.DUMMYFUNCTION("""COMPUTED_VALUE"""),FALSE)</f>
        <v>0</v>
      </c>
      <c r="D26" s="21" t="str">
        <f>IFERROR(__xludf.DUMMYFUNCTION("""COMPUTED_VALUE"""),"")</f>
        <v/>
      </c>
      <c r="E26" s="15">
        <f>IFERROR(__xludf.DUMMYFUNCTION("""COMPUTED_VALUE"""),4340.0)</f>
        <v>4340</v>
      </c>
      <c r="F26" s="15">
        <f>IFERROR(__xludf.DUMMYFUNCTION("""COMPUTED_VALUE"""),0.0)</f>
        <v>0</v>
      </c>
      <c r="G26" s="15">
        <f>IFERROR(__xludf.DUMMYFUNCTION("""COMPUTED_VALUE"""),0.0)</f>
        <v>0</v>
      </c>
      <c r="H26" s="15">
        <f>IFERROR(__xludf.DUMMYFUNCTION("""COMPUTED_VALUE"""),0.0)</f>
        <v>0</v>
      </c>
      <c r="I26" s="15">
        <f>IFERROR(__xludf.DUMMYFUNCTION("""COMPUTED_VALUE"""),217.0)</f>
        <v>217</v>
      </c>
      <c r="J26" s="15">
        <f>IFERROR(__xludf.DUMMYFUNCTION("""COMPUTED_VALUE"""),0.0)</f>
        <v>0</v>
      </c>
      <c r="K26" s="15">
        <f>IFERROR(__xludf.DUMMYFUNCTION("""COMPUTED_VALUE"""),0.0)</f>
        <v>0</v>
      </c>
      <c r="L26" s="14" t="b">
        <v>0</v>
      </c>
    </row>
    <row r="27">
      <c r="A27" s="14" t="str">
        <f>IFERROR(__xludf.DUMMYFUNCTION("""COMPUTED_VALUE"""),"Grand Total")</f>
        <v>Grand Total</v>
      </c>
      <c r="B27" s="14"/>
      <c r="C27" s="14"/>
      <c r="D27" s="14"/>
      <c r="E27" s="15">
        <f>IFERROR(__xludf.DUMMYFUNCTION("""COMPUTED_VALUE"""),62871.44)</f>
        <v>62871.44</v>
      </c>
      <c r="F27" s="15">
        <f>IFERROR(__xludf.DUMMYFUNCTION("""COMPUTED_VALUE"""),3597.0599999999995)</f>
        <v>3597.06</v>
      </c>
      <c r="G27" s="15">
        <f>IFERROR(__xludf.DUMMYFUNCTION("""COMPUTED_VALUE"""),49184.56)</f>
        <v>49184.56</v>
      </c>
      <c r="H27" s="15">
        <f>IFERROR(__xludf.DUMMYFUNCTION("""COMPUTED_VALUE"""),41997.06)</f>
        <v>41997.06</v>
      </c>
      <c r="I27" s="15">
        <f>IFERROR(__xludf.DUMMYFUNCTION("""COMPUTED_VALUE"""),3323.425)</f>
        <v>3323.425</v>
      </c>
      <c r="J27" s="15">
        <f>IFERROR(__xludf.DUMMYFUNCTION("""COMPUTED_VALUE"""),0.0)</f>
        <v>0</v>
      </c>
      <c r="K27" s="15">
        <f>IFERROR(__xludf.DUMMYFUNCTION("""COMPUTED_VALUE"""),0.0)</f>
        <v>0</v>
      </c>
      <c r="L27" s="14" t="b">
        <v>0</v>
      </c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5">
        <f>IFERROR(__xludf.DUMMYFUNCTION("""COMPUTED_VALUE"""),0.0)</f>
        <v>0</v>
      </c>
      <c r="K28" s="15">
        <f>IFERROR(__xludf.DUMMYFUNCTION("""COMPUTED_VALUE"""),0.0)</f>
        <v>0</v>
      </c>
      <c r="L28" s="14" t="b">
        <v>0</v>
      </c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5">
        <f>IFERROR(__xludf.DUMMYFUNCTION("""COMPUTED_VALUE"""),0.0)</f>
        <v>0</v>
      </c>
      <c r="K29" s="15">
        <f>IFERROR(__xludf.DUMMYFUNCTION("""COMPUTED_VALUE"""),0.0)</f>
        <v>0</v>
      </c>
      <c r="L29" s="14" t="b">
        <v>0</v>
      </c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5">
        <f>IFERROR(__xludf.DUMMYFUNCTION("""COMPUTED_VALUE"""),0.0)</f>
        <v>0</v>
      </c>
      <c r="K30" s="15">
        <f>IFERROR(__xludf.DUMMYFUNCTION("""COMPUTED_VALUE"""),0.0)</f>
        <v>0</v>
      </c>
      <c r="L30" s="14" t="b">
        <v>0</v>
      </c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5">
        <f>IFERROR(__xludf.DUMMYFUNCTION("""COMPUTED_VALUE"""),0.0)</f>
        <v>0</v>
      </c>
      <c r="K31" s="15">
        <f>IFERROR(__xludf.DUMMYFUNCTION("""COMPUTED_VALUE"""),0.0)</f>
        <v>0</v>
      </c>
      <c r="L31" s="14" t="b">
        <v>0</v>
      </c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5">
        <f>IFERROR(__xludf.DUMMYFUNCTION("""COMPUTED_VALUE"""),0.0)</f>
        <v>0</v>
      </c>
      <c r="K32" s="15">
        <f>IFERROR(__xludf.DUMMYFUNCTION("""COMPUTED_VALUE"""),0.0)</f>
        <v>0</v>
      </c>
      <c r="L32" s="14" t="b">
        <v>0</v>
      </c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5">
        <f>IFERROR(__xludf.DUMMYFUNCTION("""COMPUTED_VALUE"""),0.0)</f>
        <v>0</v>
      </c>
      <c r="K33" s="15">
        <f>IFERROR(__xludf.DUMMYFUNCTION("""COMPUTED_VALUE"""),0.0)</f>
        <v>0</v>
      </c>
      <c r="L33" s="14" t="b">
        <v>0</v>
      </c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5">
        <f>IFERROR(__xludf.DUMMYFUNCTION("""COMPUTED_VALUE"""),0.0)</f>
        <v>0</v>
      </c>
      <c r="K34" s="15">
        <f>IFERROR(__xludf.DUMMYFUNCTION("""COMPUTED_VALUE"""),0.0)</f>
        <v>0</v>
      </c>
      <c r="L34" s="14" t="b">
        <v>0</v>
      </c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5">
        <f>IFERROR(__xludf.DUMMYFUNCTION("""COMPUTED_VALUE"""),0.0)</f>
        <v>0</v>
      </c>
      <c r="K35" s="15">
        <f>IFERROR(__xludf.DUMMYFUNCTION("""COMPUTED_VALUE"""),0.0)</f>
        <v>0</v>
      </c>
      <c r="L35" s="14" t="b">
        <v>0</v>
      </c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5">
        <f>IFERROR(__xludf.DUMMYFUNCTION("""COMPUTED_VALUE"""),0.0)</f>
        <v>0</v>
      </c>
      <c r="K36" s="15">
        <f>IFERROR(__xludf.DUMMYFUNCTION("""COMPUTED_VALUE"""),0.0)</f>
        <v>0</v>
      </c>
      <c r="L36" s="14" t="b">
        <v>0</v>
      </c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5">
        <f>IFERROR(__xludf.DUMMYFUNCTION("""COMPUTED_VALUE"""),0.0)</f>
        <v>0</v>
      </c>
      <c r="K37" s="15">
        <f>IFERROR(__xludf.DUMMYFUNCTION("""COMPUTED_VALUE"""),0.0)</f>
        <v>0</v>
      </c>
      <c r="L37" s="14" t="b">
        <v>0</v>
      </c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5">
        <f>IFERROR(__xludf.DUMMYFUNCTION("""COMPUTED_VALUE"""),0.0)</f>
        <v>0</v>
      </c>
      <c r="K38" s="15">
        <f>IFERROR(__xludf.DUMMYFUNCTION("""COMPUTED_VALUE"""),0.0)</f>
        <v>0</v>
      </c>
      <c r="L38" s="14" t="b">
        <v>0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5">
        <f>IFERROR(__xludf.DUMMYFUNCTION("""COMPUTED_VALUE"""),0.0)</f>
        <v>0</v>
      </c>
      <c r="K39" s="15">
        <f>IFERROR(__xludf.DUMMYFUNCTION("""COMPUTED_VALUE"""),0.0)</f>
        <v>0</v>
      </c>
      <c r="L39" s="14" t="b">
        <v>0</v>
      </c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5">
        <f>IFERROR(__xludf.DUMMYFUNCTION("""COMPUTED_VALUE"""),0.0)</f>
        <v>0</v>
      </c>
      <c r="K40" s="15">
        <f>IFERROR(__xludf.DUMMYFUNCTION("""COMPUTED_VALUE"""),0.0)</f>
        <v>0</v>
      </c>
      <c r="L40" s="14" t="b">
        <v>0</v>
      </c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5">
        <f>IFERROR(__xludf.DUMMYFUNCTION("""COMPUTED_VALUE"""),0.0)</f>
        <v>0</v>
      </c>
      <c r="K41" s="15">
        <f>IFERROR(__xludf.DUMMYFUNCTION("""COMPUTED_VALUE"""),0.0)</f>
        <v>0</v>
      </c>
      <c r="L41" s="14" t="b">
        <v>0</v>
      </c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5">
        <f>IFERROR(__xludf.DUMMYFUNCTION("""COMPUTED_VALUE"""),0.0)</f>
        <v>0</v>
      </c>
      <c r="K42" s="15">
        <f>IFERROR(__xludf.DUMMYFUNCTION("""COMPUTED_VALUE"""),0.0)</f>
        <v>0</v>
      </c>
      <c r="L42" s="14" t="b">
        <v>0</v>
      </c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5">
        <f>IFERROR(__xludf.DUMMYFUNCTION("""COMPUTED_VALUE"""),0.0)</f>
        <v>0</v>
      </c>
      <c r="K43" s="15">
        <f>IFERROR(__xludf.DUMMYFUNCTION("""COMPUTED_VALUE"""),0.0)</f>
        <v>0</v>
      </c>
      <c r="L43" s="14" t="b">
        <v>0</v>
      </c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5">
        <f>IFERROR(__xludf.DUMMYFUNCTION("""COMPUTED_VALUE"""),0.0)</f>
        <v>0</v>
      </c>
      <c r="K44" s="15">
        <f>IFERROR(__xludf.DUMMYFUNCTION("""COMPUTED_VALUE"""),0.0)</f>
        <v>0</v>
      </c>
      <c r="L44" s="14" t="b">
        <v>0</v>
      </c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5">
        <f>IFERROR(__xludf.DUMMYFUNCTION("""COMPUTED_VALUE"""),0.0)</f>
        <v>0</v>
      </c>
      <c r="K45" s="15">
        <f>IFERROR(__xludf.DUMMYFUNCTION("""COMPUTED_VALUE"""),0.0)</f>
        <v>0</v>
      </c>
      <c r="L45" s="14" t="b">
        <v>0</v>
      </c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5">
        <f>IFERROR(__xludf.DUMMYFUNCTION("""COMPUTED_VALUE"""),0.0)</f>
        <v>0</v>
      </c>
      <c r="K46" s="15">
        <f>IFERROR(__xludf.DUMMYFUNCTION("""COMPUTED_VALUE"""),0.0)</f>
        <v>0</v>
      </c>
      <c r="L46" s="14" t="b">
        <v>0</v>
      </c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5">
        <f>IFERROR(__xludf.DUMMYFUNCTION("""COMPUTED_VALUE"""),0.0)</f>
        <v>0</v>
      </c>
      <c r="K47" s="15">
        <f>IFERROR(__xludf.DUMMYFUNCTION("""COMPUTED_VALUE"""),0.0)</f>
        <v>0</v>
      </c>
      <c r="L47" s="14" t="b">
        <v>0</v>
      </c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5">
        <f>IFERROR(__xludf.DUMMYFUNCTION("""COMPUTED_VALUE"""),0.0)</f>
        <v>0</v>
      </c>
      <c r="K48" s="15">
        <f>IFERROR(__xludf.DUMMYFUNCTION("""COMPUTED_VALUE"""),0.0)</f>
        <v>0</v>
      </c>
      <c r="L48" s="14" t="b">
        <v>0</v>
      </c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5">
        <f>IFERROR(__xludf.DUMMYFUNCTION("""COMPUTED_VALUE"""),0.0)</f>
        <v>0</v>
      </c>
      <c r="K49" s="15">
        <f>IFERROR(__xludf.DUMMYFUNCTION("""COMPUTED_VALUE"""),0.0)</f>
        <v>0</v>
      </c>
      <c r="L49" s="14" t="b">
        <v>0</v>
      </c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5">
        <f>IFERROR(__xludf.DUMMYFUNCTION("""COMPUTED_VALUE"""),0.0)</f>
        <v>0</v>
      </c>
      <c r="K50" s="15">
        <f>IFERROR(__xludf.DUMMYFUNCTION("""COMPUTED_VALUE"""),0.0)</f>
        <v>0</v>
      </c>
      <c r="L50" s="14" t="b">
        <v>0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5">
        <f>IFERROR(__xludf.DUMMYFUNCTION("""COMPUTED_VALUE"""),0.0)</f>
        <v>0</v>
      </c>
      <c r="K51" s="15">
        <f>IFERROR(__xludf.DUMMYFUNCTION("""COMPUTED_VALUE"""),0.0)</f>
        <v>0</v>
      </c>
      <c r="L51" s="14" t="b">
        <v>0</v>
      </c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5">
        <f>IFERROR(__xludf.DUMMYFUNCTION("""COMPUTED_VALUE"""),0.0)</f>
        <v>0</v>
      </c>
      <c r="K52" s="15">
        <f>IFERROR(__xludf.DUMMYFUNCTION("""COMPUTED_VALUE"""),0.0)</f>
        <v>0</v>
      </c>
      <c r="L52" s="14" t="b">
        <v>0</v>
      </c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5">
        <f>IFERROR(__xludf.DUMMYFUNCTION("""COMPUTED_VALUE"""),0.0)</f>
        <v>0</v>
      </c>
      <c r="K53" s="15">
        <f>IFERROR(__xludf.DUMMYFUNCTION("""COMPUTED_VALUE"""),0.0)</f>
        <v>0</v>
      </c>
      <c r="L53" s="14" t="b">
        <v>0</v>
      </c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5">
        <f>IFERROR(__xludf.DUMMYFUNCTION("""COMPUTED_VALUE"""),0.0)</f>
        <v>0</v>
      </c>
      <c r="K54" s="15">
        <f>IFERROR(__xludf.DUMMYFUNCTION("""COMPUTED_VALUE"""),0.0)</f>
        <v>0</v>
      </c>
      <c r="L54" s="14" t="b">
        <v>0</v>
      </c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5">
        <f>IFERROR(__xludf.DUMMYFUNCTION("""COMPUTED_VALUE"""),0.0)</f>
        <v>0</v>
      </c>
      <c r="K55" s="15">
        <f>IFERROR(__xludf.DUMMYFUNCTION("""COMPUTED_VALUE"""),0.0)</f>
        <v>0</v>
      </c>
      <c r="L55" s="14" t="b">
        <v>0</v>
      </c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5">
        <f>IFERROR(__xludf.DUMMYFUNCTION("""COMPUTED_VALUE"""),0.0)</f>
        <v>0</v>
      </c>
      <c r="K56" s="15">
        <f>IFERROR(__xludf.DUMMYFUNCTION("""COMPUTED_VALUE"""),0.0)</f>
        <v>0</v>
      </c>
      <c r="L56" s="14" t="b">
        <v>0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5">
        <f>IFERROR(__xludf.DUMMYFUNCTION("""COMPUTED_VALUE"""),0.0)</f>
        <v>0</v>
      </c>
      <c r="K57" s="15">
        <f>IFERROR(__xludf.DUMMYFUNCTION("""COMPUTED_VALUE"""),0.0)</f>
        <v>0</v>
      </c>
      <c r="L57" s="14" t="b">
        <v>0</v>
      </c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5">
        <f>IFERROR(__xludf.DUMMYFUNCTION("""COMPUTED_VALUE"""),0.0)</f>
        <v>0</v>
      </c>
      <c r="K58" s="15">
        <f>IFERROR(__xludf.DUMMYFUNCTION("""COMPUTED_VALUE"""),0.0)</f>
        <v>0</v>
      </c>
      <c r="L58" s="14" t="b">
        <v>0</v>
      </c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5">
        <f>IFERROR(__xludf.DUMMYFUNCTION("""COMPUTED_VALUE"""),0.0)</f>
        <v>0</v>
      </c>
      <c r="K59" s="15">
        <f>IFERROR(__xludf.DUMMYFUNCTION("""COMPUTED_VALUE"""),0.0)</f>
        <v>0</v>
      </c>
      <c r="L59" s="14" t="b">
        <v>0</v>
      </c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5">
        <f>IFERROR(__xludf.DUMMYFUNCTION("""COMPUTED_VALUE"""),0.0)</f>
        <v>0</v>
      </c>
      <c r="K60" s="15">
        <f>IFERROR(__xludf.DUMMYFUNCTION("""COMPUTED_VALUE"""),0.0)</f>
        <v>0</v>
      </c>
      <c r="L60" s="14" t="b"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5">
        <f>IFERROR(__xludf.DUMMYFUNCTION("""COMPUTED_VALUE"""),0.0)</f>
        <v>0</v>
      </c>
      <c r="K61" s="15">
        <f>IFERROR(__xludf.DUMMYFUNCTION("""COMPUTED_VALUE"""),0.0)</f>
        <v>0</v>
      </c>
      <c r="L61" s="14" t="b"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5">
        <f>IFERROR(__xludf.DUMMYFUNCTION("""COMPUTED_VALUE"""),0.0)</f>
        <v>0</v>
      </c>
      <c r="K62" s="15">
        <f>IFERROR(__xludf.DUMMYFUNCTION("""COMPUTED_VALUE"""),0.0)</f>
        <v>0</v>
      </c>
      <c r="L62" s="14" t="b"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5">
        <f>IFERROR(__xludf.DUMMYFUNCTION("""COMPUTED_VALUE"""),0.0)</f>
        <v>0</v>
      </c>
      <c r="K63" s="15">
        <f>IFERROR(__xludf.DUMMYFUNCTION("""COMPUTED_VALUE"""),0.0)</f>
        <v>0</v>
      </c>
      <c r="L63" s="14" t="b"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5">
        <f>IFERROR(__xludf.DUMMYFUNCTION("""COMPUTED_VALUE"""),0.0)</f>
        <v>0</v>
      </c>
      <c r="K64" s="15">
        <f>IFERROR(__xludf.DUMMYFUNCTION("""COMPUTED_VALUE"""),0.0)</f>
        <v>0</v>
      </c>
      <c r="L64" s="14" t="b"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5">
        <f>IFERROR(__xludf.DUMMYFUNCTION("""COMPUTED_VALUE"""),0.0)</f>
        <v>0</v>
      </c>
      <c r="K65" s="15">
        <f>IFERROR(__xludf.DUMMYFUNCTION("""COMPUTED_VALUE"""),0.0)</f>
        <v>0</v>
      </c>
      <c r="L65" s="14" t="b"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5">
        <f>IFERROR(__xludf.DUMMYFUNCTION("""COMPUTED_VALUE"""),0.0)</f>
        <v>0</v>
      </c>
      <c r="K66" s="15">
        <f>IFERROR(__xludf.DUMMYFUNCTION("""COMPUTED_VALUE"""),0.0)</f>
        <v>0</v>
      </c>
      <c r="L66" s="14" t="b"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5">
        <f>IFERROR(__xludf.DUMMYFUNCTION("""COMPUTED_VALUE"""),0.0)</f>
        <v>0</v>
      </c>
      <c r="K67" s="15">
        <f>IFERROR(__xludf.DUMMYFUNCTION("""COMPUTED_VALUE"""),0.0)</f>
        <v>0</v>
      </c>
      <c r="L67" s="14" t="b"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5">
        <f>IFERROR(__xludf.DUMMYFUNCTION("""COMPUTED_VALUE"""),0.0)</f>
        <v>0</v>
      </c>
      <c r="K68" s="15">
        <f>IFERROR(__xludf.DUMMYFUNCTION("""COMPUTED_VALUE"""),0.0)</f>
        <v>0</v>
      </c>
      <c r="L68" s="14" t="b"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5">
        <f>IFERROR(__xludf.DUMMYFUNCTION("""COMPUTED_VALUE"""),0.0)</f>
        <v>0</v>
      </c>
      <c r="K69" s="15">
        <f>IFERROR(__xludf.DUMMYFUNCTION("""COMPUTED_VALUE"""),0.0)</f>
        <v>0</v>
      </c>
      <c r="L69" s="14" t="b"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5">
        <f>IFERROR(__xludf.DUMMYFUNCTION("""COMPUTED_VALUE"""),0.0)</f>
        <v>0</v>
      </c>
      <c r="K70" s="15">
        <f>IFERROR(__xludf.DUMMYFUNCTION("""COMPUTED_VALUE"""),0.0)</f>
        <v>0</v>
      </c>
      <c r="L70" s="14" t="b"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5">
        <f>IFERROR(__xludf.DUMMYFUNCTION("""COMPUTED_VALUE"""),0.0)</f>
        <v>0</v>
      </c>
      <c r="K71" s="15">
        <f>IFERROR(__xludf.DUMMYFUNCTION("""COMPUTED_VALUE"""),0.0)</f>
        <v>0</v>
      </c>
      <c r="L71" s="14" t="b"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5">
        <f>IFERROR(__xludf.DUMMYFUNCTION("""COMPUTED_VALUE"""),0.0)</f>
        <v>0</v>
      </c>
      <c r="K72" s="15">
        <f>IFERROR(__xludf.DUMMYFUNCTION("""COMPUTED_VALUE"""),0.0)</f>
        <v>0</v>
      </c>
      <c r="L72" s="14" t="b"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5">
        <f>IFERROR(__xludf.DUMMYFUNCTION("""COMPUTED_VALUE"""),0.0)</f>
        <v>0</v>
      </c>
      <c r="K73" s="15">
        <f>IFERROR(__xludf.DUMMYFUNCTION("""COMPUTED_VALUE"""),0.0)</f>
        <v>0</v>
      </c>
      <c r="L73" s="14" t="b"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5">
        <f>IFERROR(__xludf.DUMMYFUNCTION("""COMPUTED_VALUE"""),0.0)</f>
        <v>0</v>
      </c>
      <c r="K74" s="15">
        <f>IFERROR(__xludf.DUMMYFUNCTION("""COMPUTED_VALUE"""),0.0)</f>
        <v>0</v>
      </c>
      <c r="L74" s="14" t="b"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5">
        <f>IFERROR(__xludf.DUMMYFUNCTION("""COMPUTED_VALUE"""),0.0)</f>
        <v>0</v>
      </c>
      <c r="K75" s="15">
        <f>IFERROR(__xludf.DUMMYFUNCTION("""COMPUTED_VALUE"""),0.0)</f>
        <v>0</v>
      </c>
      <c r="L75" s="14" t="b"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5">
        <f>IFERROR(__xludf.DUMMYFUNCTION("""COMPUTED_VALUE"""),0.0)</f>
        <v>0</v>
      </c>
      <c r="K76" s="15">
        <f>IFERROR(__xludf.DUMMYFUNCTION("""COMPUTED_VALUE"""),0.0)</f>
        <v>0</v>
      </c>
      <c r="L76" s="14" t="b"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5">
        <f>IFERROR(__xludf.DUMMYFUNCTION("""COMPUTED_VALUE"""),0.0)</f>
        <v>0</v>
      </c>
      <c r="K77" s="15">
        <f>IFERROR(__xludf.DUMMYFUNCTION("""COMPUTED_VALUE"""),0.0)</f>
        <v>0</v>
      </c>
      <c r="L77" s="14" t="b"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5">
        <f>IFERROR(__xludf.DUMMYFUNCTION("""COMPUTED_VALUE"""),0.0)</f>
        <v>0</v>
      </c>
      <c r="K78" s="15">
        <f>IFERROR(__xludf.DUMMYFUNCTION("""COMPUTED_VALUE"""),0.0)</f>
        <v>0</v>
      </c>
      <c r="L78" s="14" t="b"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5">
        <f>IFERROR(__xludf.DUMMYFUNCTION("""COMPUTED_VALUE"""),0.0)</f>
        <v>0</v>
      </c>
      <c r="K79" s="15">
        <f>IFERROR(__xludf.DUMMYFUNCTION("""COMPUTED_VALUE"""),0.0)</f>
        <v>0</v>
      </c>
      <c r="L79" s="14" t="b"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5">
        <f>IFERROR(__xludf.DUMMYFUNCTION("""COMPUTED_VALUE"""),0.0)</f>
        <v>0</v>
      </c>
      <c r="K80" s="15">
        <f>IFERROR(__xludf.DUMMYFUNCTION("""COMPUTED_VALUE"""),0.0)</f>
        <v>0</v>
      </c>
      <c r="L80" s="14" t="b"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5">
        <f>IFERROR(__xludf.DUMMYFUNCTION("""COMPUTED_VALUE"""),0.0)</f>
        <v>0</v>
      </c>
      <c r="K81" s="15">
        <f>IFERROR(__xludf.DUMMYFUNCTION("""COMPUTED_VALUE"""),0.0)</f>
        <v>0</v>
      </c>
      <c r="L81" s="14" t="b"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5">
        <f>IFERROR(__xludf.DUMMYFUNCTION("""COMPUTED_VALUE"""),0.0)</f>
        <v>0</v>
      </c>
      <c r="K82" s="15">
        <f>IFERROR(__xludf.DUMMYFUNCTION("""COMPUTED_VALUE"""),0.0)</f>
        <v>0</v>
      </c>
      <c r="L82" s="14" t="b"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5">
        <f>IFERROR(__xludf.DUMMYFUNCTION("""COMPUTED_VALUE"""),0.0)</f>
        <v>0</v>
      </c>
      <c r="K83" s="15">
        <f>IFERROR(__xludf.DUMMYFUNCTION("""COMPUTED_VALUE"""),0.0)</f>
        <v>0</v>
      </c>
      <c r="L83" s="14" t="b"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5">
        <f>IFERROR(__xludf.DUMMYFUNCTION("""COMPUTED_VALUE"""),0.0)</f>
        <v>0</v>
      </c>
      <c r="K84" s="15">
        <f>IFERROR(__xludf.DUMMYFUNCTION("""COMPUTED_VALUE"""),0.0)</f>
        <v>0</v>
      </c>
      <c r="L84" s="14" t="b"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5">
        <f>IFERROR(__xludf.DUMMYFUNCTION("""COMPUTED_VALUE"""),0.0)</f>
        <v>0</v>
      </c>
      <c r="K85" s="15">
        <f>IFERROR(__xludf.DUMMYFUNCTION("""COMPUTED_VALUE"""),0.0)</f>
        <v>0</v>
      </c>
      <c r="L85" s="14" t="b"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5">
        <f>IFERROR(__xludf.DUMMYFUNCTION("""COMPUTED_VALUE"""),0.0)</f>
        <v>0</v>
      </c>
      <c r="K86" s="15">
        <f>IFERROR(__xludf.DUMMYFUNCTION("""COMPUTED_VALUE"""),0.0)</f>
        <v>0</v>
      </c>
      <c r="L86" s="14" t="b"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5">
        <f>IFERROR(__xludf.DUMMYFUNCTION("""COMPUTED_VALUE"""),0.0)</f>
        <v>0</v>
      </c>
      <c r="K87" s="15">
        <f>IFERROR(__xludf.DUMMYFUNCTION("""COMPUTED_VALUE"""),0.0)</f>
        <v>0</v>
      </c>
      <c r="L87" s="14" t="b"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5">
        <f>IFERROR(__xludf.DUMMYFUNCTION("""COMPUTED_VALUE"""),0.0)</f>
        <v>0</v>
      </c>
      <c r="K88" s="15">
        <f>IFERROR(__xludf.DUMMYFUNCTION("""COMPUTED_VALUE"""),0.0)</f>
        <v>0</v>
      </c>
      <c r="L88" s="14" t="b"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5">
        <f>IFERROR(__xludf.DUMMYFUNCTION("""COMPUTED_VALUE"""),0.0)</f>
        <v>0</v>
      </c>
      <c r="K89" s="15">
        <f>IFERROR(__xludf.DUMMYFUNCTION("""COMPUTED_VALUE"""),0.0)</f>
        <v>0</v>
      </c>
      <c r="L89" s="14" t="b"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5">
        <f>IFERROR(__xludf.DUMMYFUNCTION("""COMPUTED_VALUE"""),0.0)</f>
        <v>0</v>
      </c>
      <c r="K90" s="15">
        <f>IFERROR(__xludf.DUMMYFUNCTION("""COMPUTED_VALUE"""),0.0)</f>
        <v>0</v>
      </c>
      <c r="L90" s="14" t="b"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5">
        <f>IFERROR(__xludf.DUMMYFUNCTION("""COMPUTED_VALUE"""),0.0)</f>
        <v>0</v>
      </c>
      <c r="K91" s="15">
        <f>IFERROR(__xludf.DUMMYFUNCTION("""COMPUTED_VALUE"""),0.0)</f>
        <v>0</v>
      </c>
      <c r="L91" s="14" t="b"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5">
        <f>IFERROR(__xludf.DUMMYFUNCTION("""COMPUTED_VALUE"""),0.0)</f>
        <v>0</v>
      </c>
      <c r="K92" s="15">
        <f>IFERROR(__xludf.DUMMYFUNCTION("""COMPUTED_VALUE"""),0.0)</f>
        <v>0</v>
      </c>
      <c r="L92" s="14" t="b"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5">
        <f>IFERROR(__xludf.DUMMYFUNCTION("""COMPUTED_VALUE"""),0.0)</f>
        <v>0</v>
      </c>
      <c r="K93" s="15">
        <f>IFERROR(__xludf.DUMMYFUNCTION("""COMPUTED_VALUE"""),0.0)</f>
        <v>0</v>
      </c>
      <c r="L93" s="14" t="b"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5">
        <f>IFERROR(__xludf.DUMMYFUNCTION("""COMPUTED_VALUE"""),0.0)</f>
        <v>0</v>
      </c>
      <c r="K94" s="15">
        <f>IFERROR(__xludf.DUMMYFUNCTION("""COMPUTED_VALUE"""),0.0)</f>
        <v>0</v>
      </c>
      <c r="L94" s="14" t="b"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5">
        <f>IFERROR(__xludf.DUMMYFUNCTION("""COMPUTED_VALUE"""),0.0)</f>
        <v>0</v>
      </c>
      <c r="K95" s="15">
        <f>IFERROR(__xludf.DUMMYFUNCTION("""COMPUTED_VALUE"""),0.0)</f>
        <v>0</v>
      </c>
      <c r="L95" s="14" t="b"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5">
        <f>IFERROR(__xludf.DUMMYFUNCTION("""COMPUTED_VALUE"""),0.0)</f>
        <v>0</v>
      </c>
      <c r="K96" s="15">
        <f>IFERROR(__xludf.DUMMYFUNCTION("""COMPUTED_VALUE"""),0.0)</f>
        <v>0</v>
      </c>
      <c r="L96" s="14" t="b"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5">
        <f>IFERROR(__xludf.DUMMYFUNCTION("""COMPUTED_VALUE"""),0.0)</f>
        <v>0</v>
      </c>
      <c r="K97" s="15">
        <f>IFERROR(__xludf.DUMMYFUNCTION("""COMPUTED_VALUE"""),0.0)</f>
        <v>0</v>
      </c>
      <c r="L97" s="14" t="b"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5">
        <f>IFERROR(__xludf.DUMMYFUNCTION("""COMPUTED_VALUE"""),0.0)</f>
        <v>0</v>
      </c>
      <c r="K98" s="15">
        <f>IFERROR(__xludf.DUMMYFUNCTION("""COMPUTED_VALUE"""),0.0)</f>
        <v>0</v>
      </c>
      <c r="L98" s="14" t="b"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5">
        <f>IFERROR(__xludf.DUMMYFUNCTION("""COMPUTED_VALUE"""),0.0)</f>
        <v>0</v>
      </c>
      <c r="K99" s="15">
        <f>IFERROR(__xludf.DUMMYFUNCTION("""COMPUTED_VALUE"""),0.0)</f>
        <v>0</v>
      </c>
      <c r="L99" s="14" t="b"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5">
        <f>IFERROR(__xludf.DUMMYFUNCTION("""COMPUTED_VALUE"""),0.0)</f>
        <v>0</v>
      </c>
      <c r="K100" s="15">
        <f>IFERROR(__xludf.DUMMYFUNCTION("""COMPUTED_VALUE"""),0.0)</f>
        <v>0</v>
      </c>
      <c r="L100" s="14" t="b"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5">
        <f>IFERROR(__xludf.DUMMYFUNCTION("""COMPUTED_VALUE"""),0.0)</f>
        <v>0</v>
      </c>
      <c r="K101" s="15">
        <f>IFERROR(__xludf.DUMMYFUNCTION("""COMPUTED_VALUE"""),0.0)</f>
        <v>0</v>
      </c>
      <c r="L101" s="14" t="b"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25"/>
  </cols>
  <sheetData>
    <row r="1">
      <c r="A1" s="14" t="str">
        <f>IFERROR(__xludf.DUMMYFUNCTION("IMPORTRANGE(""https://docs.google.com/spreadsheets/d/1eO365hmI2Nm9_YssKGka92teOkoRD0uzSnM0r31D7ek/edit?pli=1#gid=606377111"",""2026 Drew!A:k"")"),"Job #")</f>
        <v>Job #</v>
      </c>
      <c r="B1" s="14" t="str">
        <f>IFERROR(__xludf.DUMMYFUNCTION("""COMPUTED_VALUE"""),"Name")</f>
        <v>Name</v>
      </c>
      <c r="C1" s="14" t="str">
        <f>IFERROR(__xludf.DUMMYFUNCTION("""COMPUTED_VALUE"""),"Paid in Full")</f>
        <v>Paid in Full</v>
      </c>
      <c r="D1" s="14" t="str">
        <f>IFERROR(__xludf.DUMMYFUNCTION("""COMPUTED_VALUE"""),"GP %")</f>
        <v>GP %</v>
      </c>
      <c r="E1" s="14" t="str">
        <f>IFERROR(__xludf.DUMMYFUNCTION("""COMPUTED_VALUE"""),"Contract")</f>
        <v>Contract</v>
      </c>
      <c r="F1" s="14" t="str">
        <f>IFERROR(__xludf.DUMMYFUNCTION("""COMPUTED_VALUE"""),"Change Orders")</f>
        <v>Change Orders</v>
      </c>
      <c r="G1" s="15" t="str">
        <f>IFERROR(__xludf.DUMMYFUNCTION("""COMPUTED_VALUE"""),"Invoiced")</f>
        <v>Invoiced</v>
      </c>
      <c r="H1" s="14" t="str">
        <f>IFERROR(__xludf.DUMMYFUNCTION("""COMPUTED_VALUE"""),"Amount Paid")</f>
        <v>Amount Paid</v>
      </c>
      <c r="I1" s="15" t="str">
        <f>IFERROR(__xludf.DUMMYFUNCTION("""COMPUTED_VALUE"""),"Expected Commission")</f>
        <v>Expected Commission</v>
      </c>
      <c r="J1" s="15" t="str">
        <f>IFERROR(__xludf.DUMMYFUNCTION("""COMPUTED_VALUE"""),"Commission Paid")</f>
        <v>Commission Paid</v>
      </c>
      <c r="K1" s="15" t="str">
        <f>IFERROR(__xludf.DUMMYFUNCTION("""COMPUTED_VALUE"""),"Commission Owed")</f>
        <v>Commission Owed</v>
      </c>
      <c r="L1" s="16" t="s">
        <v>55</v>
      </c>
    </row>
    <row r="2">
      <c r="A2" s="14">
        <f>IFERROR(__xludf.DUMMYFUNCTION("""COMPUTED_VALUE"""),2.0265001E7)</f>
        <v>20265001</v>
      </c>
      <c r="B2" s="14" t="str">
        <f>IFERROR(__xludf.DUMMYFUNCTION("""COMPUTED_VALUE"""),"Riley Spradlin")</f>
        <v>Riley Spradlin</v>
      </c>
      <c r="C2" s="14" t="b">
        <f>IFERROR(__xludf.DUMMYFUNCTION("""COMPUTED_VALUE"""),FALSE)</f>
        <v>0</v>
      </c>
      <c r="D2" s="23">
        <f>IFERROR(__xludf.DUMMYFUNCTION("""COMPUTED_VALUE"""),0.29507783382171754)</f>
        <v>0.2950778338</v>
      </c>
      <c r="E2" s="15">
        <f>IFERROR(__xludf.DUMMYFUNCTION("""COMPUTED_VALUE"""),49298.62)</f>
        <v>49298.62</v>
      </c>
      <c r="F2" s="15">
        <f>IFERROR(__xludf.DUMMYFUNCTION("""COMPUTED_VALUE"""),0.0)</f>
        <v>0</v>
      </c>
      <c r="G2" s="15">
        <f>IFERROR(__xludf.DUMMYFUNCTION("""COMPUTED_VALUE"""),17603.0)</f>
        <v>17603</v>
      </c>
      <c r="H2" s="15">
        <f>IFERROR(__xludf.DUMMYFUNCTION("""COMPUTED_VALUE"""),17603.0)</f>
        <v>17603</v>
      </c>
      <c r="I2" s="15">
        <f>IFERROR(__xludf.DUMMYFUNCTION("""COMPUTED_VALUE"""),492.98620000000005)</f>
        <v>492.9862</v>
      </c>
      <c r="J2" s="15">
        <f>IFERROR(__xludf.DUMMYFUNCTION("""COMPUTED_VALUE"""),176.03)</f>
        <v>176.03</v>
      </c>
      <c r="K2" s="15">
        <f>IFERROR(__xludf.DUMMYFUNCTION("""COMPUTED_VALUE"""),0.0)</f>
        <v>0</v>
      </c>
      <c r="L2" s="16" t="b">
        <v>0</v>
      </c>
    </row>
    <row r="3">
      <c r="A3" s="17">
        <f>IFERROR(__xludf.DUMMYFUNCTION("""COMPUTED_VALUE"""),2.0265002E7)</f>
        <v>20265002</v>
      </c>
      <c r="B3" s="17" t="str">
        <f>IFERROR(__xludf.DUMMYFUNCTION("""COMPUTED_VALUE"""),"Matthew Patton")</f>
        <v>Matthew Patton</v>
      </c>
      <c r="C3" s="17" t="b">
        <f>IFERROR(__xludf.DUMMYFUNCTION("""COMPUTED_VALUE"""),TRUE)</f>
        <v>1</v>
      </c>
      <c r="D3" s="18">
        <f>IFERROR(__xludf.DUMMYFUNCTION("""COMPUTED_VALUE"""),0.4919444444444444)</f>
        <v>0.4919444444</v>
      </c>
      <c r="E3" s="19">
        <f>IFERROR(__xludf.DUMMYFUNCTION("""COMPUTED_VALUE"""),540.0)</f>
        <v>540</v>
      </c>
      <c r="F3" s="19">
        <f>IFERROR(__xludf.DUMMYFUNCTION("""COMPUTED_VALUE"""),0.0)</f>
        <v>0</v>
      </c>
      <c r="G3" s="19">
        <f>IFERROR(__xludf.DUMMYFUNCTION("""COMPUTED_VALUE"""),540.0)</f>
        <v>540</v>
      </c>
      <c r="H3" s="19">
        <f>IFERROR(__xludf.DUMMYFUNCTION("""COMPUTED_VALUE"""),540.0)</f>
        <v>540</v>
      </c>
      <c r="I3" s="19">
        <f>IFERROR(__xludf.DUMMYFUNCTION("""COMPUTED_VALUE"""),5.4)</f>
        <v>5.4</v>
      </c>
      <c r="J3" s="19">
        <f>IFERROR(__xludf.DUMMYFUNCTION("""COMPUTED_VALUE"""),5.4)</f>
        <v>5.4</v>
      </c>
      <c r="K3" s="19">
        <f>IFERROR(__xludf.DUMMYFUNCTION("""COMPUTED_VALUE"""),0.0)</f>
        <v>0</v>
      </c>
      <c r="L3" s="20" t="b">
        <v>0</v>
      </c>
    </row>
    <row r="4">
      <c r="A4" s="17">
        <f>IFERROR(__xludf.DUMMYFUNCTION("""COMPUTED_VALUE"""),2.0265003E7)</f>
        <v>20265003</v>
      </c>
      <c r="B4" s="17" t="str">
        <f>IFERROR(__xludf.DUMMYFUNCTION("""COMPUTED_VALUE"""),"Marshall Wagner")</f>
        <v>Marshall Wagner</v>
      </c>
      <c r="C4" s="17" t="b">
        <f>IFERROR(__xludf.DUMMYFUNCTION("""COMPUTED_VALUE"""),TRUE)</f>
        <v>1</v>
      </c>
      <c r="D4" s="18">
        <f>IFERROR(__xludf.DUMMYFUNCTION("""COMPUTED_VALUE"""),0.4126828443392238)</f>
        <v>0.4126828443</v>
      </c>
      <c r="E4" s="19">
        <f>IFERROR(__xludf.DUMMYFUNCTION("""COMPUTED_VALUE"""),1182.7)</f>
        <v>1182.7</v>
      </c>
      <c r="F4" s="19">
        <f>IFERROR(__xludf.DUMMYFUNCTION("""COMPUTED_VALUE"""),0.0)</f>
        <v>0</v>
      </c>
      <c r="G4" s="19">
        <f>IFERROR(__xludf.DUMMYFUNCTION("""COMPUTED_VALUE"""),1182.7)</f>
        <v>1182.7</v>
      </c>
      <c r="H4" s="19">
        <f>IFERROR(__xludf.DUMMYFUNCTION("""COMPUTED_VALUE"""),1182.7)</f>
        <v>1182.7</v>
      </c>
      <c r="I4" s="19">
        <f>IFERROR(__xludf.DUMMYFUNCTION("""COMPUTED_VALUE"""),11.827)</f>
        <v>11.827</v>
      </c>
      <c r="J4" s="19">
        <f>IFERROR(__xludf.DUMMYFUNCTION("""COMPUTED_VALUE"""),11.83)</f>
        <v>11.83</v>
      </c>
      <c r="K4" s="19">
        <f>IFERROR(__xludf.DUMMYFUNCTION("""COMPUTED_VALUE"""),0.0)</f>
        <v>0</v>
      </c>
      <c r="L4" s="20" t="b">
        <v>0</v>
      </c>
    </row>
    <row r="5">
      <c r="A5" s="14">
        <f>IFERROR(__xludf.DUMMYFUNCTION("""COMPUTED_VALUE"""),2.0265004E7)</f>
        <v>20265004</v>
      </c>
      <c r="B5" s="14" t="str">
        <f>IFERROR(__xludf.DUMMYFUNCTION("""COMPUTED_VALUE"""),"Donald Mcghee")</f>
        <v>Donald Mcghee</v>
      </c>
      <c r="C5" s="14" t="b">
        <f>IFERROR(__xludf.DUMMYFUNCTION("""COMPUTED_VALUE"""),FALSE)</f>
        <v>0</v>
      </c>
      <c r="D5" s="23">
        <f>IFERROR(__xludf.DUMMYFUNCTION("""COMPUTED_VALUE"""),-0.003403962365180308)</f>
        <v>-0.003403962365</v>
      </c>
      <c r="E5" s="15">
        <f>IFERROR(__xludf.DUMMYFUNCTION("""COMPUTED_VALUE"""),522.92)</f>
        <v>522.92</v>
      </c>
      <c r="F5" s="15">
        <f>IFERROR(__xludf.DUMMYFUNCTION("""COMPUTED_VALUE"""),0.0)</f>
        <v>0</v>
      </c>
      <c r="G5" s="15">
        <f>IFERROR(__xludf.DUMMYFUNCTION("""COMPUTED_VALUE"""),809.77)</f>
        <v>809.77</v>
      </c>
      <c r="H5" s="15">
        <f>IFERROR(__xludf.DUMMYFUNCTION("""COMPUTED_VALUE"""),0.0)</f>
        <v>0</v>
      </c>
      <c r="I5" s="15">
        <f>IFERROR(__xludf.DUMMYFUNCTION("""COMPUTED_VALUE"""),5.2292)</f>
        <v>5.2292</v>
      </c>
      <c r="J5" s="15">
        <f>IFERROR(__xludf.DUMMYFUNCTION("""COMPUTED_VALUE"""),0.0)</f>
        <v>0</v>
      </c>
      <c r="K5" s="15">
        <f>IFERROR(__xludf.DUMMYFUNCTION("""COMPUTED_VALUE"""),0.0)</f>
        <v>0</v>
      </c>
      <c r="L5" s="14" t="b">
        <v>0</v>
      </c>
    </row>
    <row r="6">
      <c r="A6" s="17">
        <f>IFERROR(__xludf.DUMMYFUNCTION("""COMPUTED_VALUE"""),2.0265005E7)</f>
        <v>20265005</v>
      </c>
      <c r="B6" s="17" t="str">
        <f>IFERROR(__xludf.DUMMYFUNCTION("""COMPUTED_VALUE"""),"Shari Dill")</f>
        <v>Shari Dill</v>
      </c>
      <c r="C6" s="17" t="b">
        <f>IFERROR(__xludf.DUMMYFUNCTION("""COMPUTED_VALUE"""),TRUE)</f>
        <v>1</v>
      </c>
      <c r="D6" s="23">
        <f>IFERROR(__xludf.DUMMYFUNCTION("""COMPUTED_VALUE"""),0.2618304798447721)</f>
        <v>0.2618304798</v>
      </c>
      <c r="E6" s="19">
        <f>IFERROR(__xludf.DUMMYFUNCTION("""COMPUTED_VALUE"""),2746.93)</f>
        <v>2746.93</v>
      </c>
      <c r="F6" s="19">
        <f>IFERROR(__xludf.DUMMYFUNCTION("""COMPUTED_VALUE"""),0.0)</f>
        <v>0</v>
      </c>
      <c r="G6" s="19">
        <f>IFERROR(__xludf.DUMMYFUNCTION("""COMPUTED_VALUE"""),2746.93)</f>
        <v>2746.93</v>
      </c>
      <c r="H6" s="19">
        <f>IFERROR(__xludf.DUMMYFUNCTION("""COMPUTED_VALUE"""),2746.93)</f>
        <v>2746.93</v>
      </c>
      <c r="I6" s="19">
        <f>IFERROR(__xludf.DUMMYFUNCTION("""COMPUTED_VALUE"""),27.4693)</f>
        <v>27.4693</v>
      </c>
      <c r="J6" s="19">
        <f>IFERROR(__xludf.DUMMYFUNCTION("""COMPUTED_VALUE"""),27.47)</f>
        <v>27.47</v>
      </c>
      <c r="K6" s="19">
        <f>IFERROR(__xludf.DUMMYFUNCTION("""COMPUTED_VALUE"""),0.0)</f>
        <v>0</v>
      </c>
      <c r="L6" s="20" t="b">
        <v>0</v>
      </c>
    </row>
    <row r="7">
      <c r="A7" s="17">
        <f>IFERROR(__xludf.DUMMYFUNCTION("""COMPUTED_VALUE"""),2.0265006E7)</f>
        <v>20265006</v>
      </c>
      <c r="B7" s="17" t="str">
        <f>IFERROR(__xludf.DUMMYFUNCTION("""COMPUTED_VALUE"""),"Nancy Avila")</f>
        <v>Nancy Avila</v>
      </c>
      <c r="C7" s="17" t="b">
        <f>IFERROR(__xludf.DUMMYFUNCTION("""COMPUTED_VALUE"""),TRUE)</f>
        <v>1</v>
      </c>
      <c r="D7" s="18">
        <f>IFERROR(__xludf.DUMMYFUNCTION("""COMPUTED_VALUE"""),0.5454545454545454)</f>
        <v>0.5454545455</v>
      </c>
      <c r="E7" s="19">
        <f>IFERROR(__xludf.DUMMYFUNCTION("""COMPUTED_VALUE"""),550.0)</f>
        <v>550</v>
      </c>
      <c r="F7" s="19">
        <f>IFERROR(__xludf.DUMMYFUNCTION("""COMPUTED_VALUE"""),0.0)</f>
        <v>0</v>
      </c>
      <c r="G7" s="19">
        <f>IFERROR(__xludf.DUMMYFUNCTION("""COMPUTED_VALUE"""),550.0)</f>
        <v>550</v>
      </c>
      <c r="H7" s="19">
        <f>IFERROR(__xludf.DUMMYFUNCTION("""COMPUTED_VALUE"""),550.0)</f>
        <v>550</v>
      </c>
      <c r="I7" s="19">
        <f>IFERROR(__xludf.DUMMYFUNCTION("""COMPUTED_VALUE"""),5.5)</f>
        <v>5.5</v>
      </c>
      <c r="J7" s="19">
        <f>IFERROR(__xludf.DUMMYFUNCTION("""COMPUTED_VALUE"""),5.5)</f>
        <v>5.5</v>
      </c>
      <c r="K7" s="19">
        <f>IFERROR(__xludf.DUMMYFUNCTION("""COMPUTED_VALUE"""),0.0)</f>
        <v>0</v>
      </c>
      <c r="L7" s="20" t="b">
        <v>0</v>
      </c>
    </row>
    <row r="8">
      <c r="A8" s="24">
        <f>IFERROR(__xludf.DUMMYFUNCTION("""COMPUTED_VALUE"""),2.0265007E7)</f>
        <v>20265007</v>
      </c>
      <c r="B8" s="24" t="str">
        <f>IFERROR(__xludf.DUMMYFUNCTION("""COMPUTED_VALUE"""),"James Combs")</f>
        <v>James Combs</v>
      </c>
      <c r="C8" s="24" t="b">
        <f>IFERROR(__xludf.DUMMYFUNCTION("""COMPUTED_VALUE"""),TRUE)</f>
        <v>1</v>
      </c>
      <c r="D8" s="25">
        <f>IFERROR(__xludf.DUMMYFUNCTION("""COMPUTED_VALUE"""),1.0)</f>
        <v>1</v>
      </c>
      <c r="E8" s="26">
        <f>IFERROR(__xludf.DUMMYFUNCTION("""COMPUTED_VALUE"""),240.0)</f>
        <v>240</v>
      </c>
      <c r="F8" s="26">
        <f>IFERROR(__xludf.DUMMYFUNCTION("""COMPUTED_VALUE"""),0.0)</f>
        <v>0</v>
      </c>
      <c r="G8" s="26">
        <f>IFERROR(__xludf.DUMMYFUNCTION("""COMPUTED_VALUE"""),240.0)</f>
        <v>240</v>
      </c>
      <c r="H8" s="26">
        <f>IFERROR(__xludf.DUMMYFUNCTION("""COMPUTED_VALUE"""),240.0)</f>
        <v>240</v>
      </c>
      <c r="I8" s="26">
        <f>IFERROR(__xludf.DUMMYFUNCTION("""COMPUTED_VALUE"""),2.4)</f>
        <v>2.4</v>
      </c>
      <c r="J8" s="26">
        <f>IFERROR(__xludf.DUMMYFUNCTION("""COMPUTED_VALUE"""),0.0)</f>
        <v>0</v>
      </c>
      <c r="K8" s="26">
        <f>IFERROR(__xludf.DUMMYFUNCTION("""COMPUTED_VALUE"""),2.4)</f>
        <v>2.4</v>
      </c>
      <c r="L8" s="24" t="b">
        <v>0</v>
      </c>
    </row>
    <row r="9">
      <c r="A9" s="14">
        <f>IFERROR(__xludf.DUMMYFUNCTION("""COMPUTED_VALUE"""),2.0265008E7)</f>
        <v>20265008</v>
      </c>
      <c r="B9" s="14" t="str">
        <f>IFERROR(__xludf.DUMMYFUNCTION("""COMPUTED_VALUE"""),"Jonathan Vernon")</f>
        <v>Jonathan Vernon</v>
      </c>
      <c r="C9" s="14" t="b">
        <f>IFERROR(__xludf.DUMMYFUNCTION("""COMPUTED_VALUE"""),FALSE)</f>
        <v>0</v>
      </c>
      <c r="D9" s="21" t="str">
        <f>IFERROR(__xludf.DUMMYFUNCTION("""COMPUTED_VALUE"""),"")</f>
        <v/>
      </c>
      <c r="E9" s="15">
        <f>IFERROR(__xludf.DUMMYFUNCTION("""COMPUTED_VALUE"""),9689.68)</f>
        <v>9689.68</v>
      </c>
      <c r="F9" s="15">
        <f>IFERROR(__xludf.DUMMYFUNCTION("""COMPUTED_VALUE"""),0.0)</f>
        <v>0</v>
      </c>
      <c r="G9" s="15">
        <f>IFERROR(__xludf.DUMMYFUNCTION("""COMPUTED_VALUE"""),0.0)</f>
        <v>0</v>
      </c>
      <c r="H9" s="15">
        <f>IFERROR(__xludf.DUMMYFUNCTION("""COMPUTED_VALUE"""),0.0)</f>
        <v>0</v>
      </c>
      <c r="I9" s="15">
        <f>IFERROR(__xludf.DUMMYFUNCTION("""COMPUTED_VALUE"""),96.8968)</f>
        <v>96.8968</v>
      </c>
      <c r="J9" s="15">
        <f>IFERROR(__xludf.DUMMYFUNCTION("""COMPUTED_VALUE"""),0.0)</f>
        <v>0</v>
      </c>
      <c r="K9" s="15">
        <f>IFERROR(__xludf.DUMMYFUNCTION("""COMPUTED_VALUE"""),0.0)</f>
        <v>0</v>
      </c>
      <c r="L9" s="14" t="b">
        <v>0</v>
      </c>
    </row>
    <row r="10">
      <c r="A10" s="14">
        <f>IFERROR(__xludf.DUMMYFUNCTION("""COMPUTED_VALUE"""),2.0265009E7)</f>
        <v>20265009</v>
      </c>
      <c r="B10" s="14" t="str">
        <f>IFERROR(__xludf.DUMMYFUNCTION("""COMPUTED_VALUE"""),"Christian Life Center Emergency Repairs")</f>
        <v>Christian Life Center Emergency Repairs</v>
      </c>
      <c r="C10" s="14" t="b">
        <f>IFERROR(__xludf.DUMMYFUNCTION("""COMPUTED_VALUE"""),FALSE)</f>
        <v>0</v>
      </c>
      <c r="D10" s="21" t="str">
        <f>IFERROR(__xludf.DUMMYFUNCTION("""COMPUTED_VALUE"""),"")</f>
        <v/>
      </c>
      <c r="E10" s="15">
        <f>IFERROR(__xludf.DUMMYFUNCTION("""COMPUTED_VALUE"""),0.0)</f>
        <v>0</v>
      </c>
      <c r="F10" s="15">
        <f>IFERROR(__xludf.DUMMYFUNCTION("""COMPUTED_VALUE"""),0.0)</f>
        <v>0</v>
      </c>
      <c r="G10" s="15">
        <f>IFERROR(__xludf.DUMMYFUNCTION("""COMPUTED_VALUE"""),20646.65)</f>
        <v>20646.65</v>
      </c>
      <c r="H10" s="15">
        <f>IFERROR(__xludf.DUMMYFUNCTION("""COMPUTED_VALUE"""),0.0)</f>
        <v>0</v>
      </c>
      <c r="I10" s="15">
        <f>IFERROR(__xludf.DUMMYFUNCTION("""COMPUTED_VALUE"""),0.0)</f>
        <v>0</v>
      </c>
      <c r="J10" s="15">
        <f>IFERROR(__xludf.DUMMYFUNCTION("""COMPUTED_VALUE"""),0.0)</f>
        <v>0</v>
      </c>
      <c r="K10" s="15">
        <f>IFERROR(__xludf.DUMMYFUNCTION("""COMPUTED_VALUE"""),0.0)</f>
        <v>0</v>
      </c>
      <c r="L10" s="14" t="b">
        <v>0</v>
      </c>
    </row>
    <row r="11">
      <c r="A11" s="17">
        <f>IFERROR(__xludf.DUMMYFUNCTION("""COMPUTED_VALUE"""),2.026501E7)</f>
        <v>20265010</v>
      </c>
      <c r="B11" s="17" t="str">
        <f>IFERROR(__xludf.DUMMYFUNCTION("""COMPUTED_VALUE"""),"Tyler Hunt")</f>
        <v>Tyler Hunt</v>
      </c>
      <c r="C11" s="17" t="b">
        <f>IFERROR(__xludf.DUMMYFUNCTION("""COMPUTED_VALUE"""),TRUE)</f>
        <v>1</v>
      </c>
      <c r="D11" s="18">
        <f>IFERROR(__xludf.DUMMYFUNCTION("""COMPUTED_VALUE"""),0.3590172881733101)</f>
        <v>0.3590172882</v>
      </c>
      <c r="E11" s="19">
        <f>IFERROR(__xludf.DUMMYFUNCTION("""COMPUTED_VALUE"""),32265.41)</f>
        <v>32265.41</v>
      </c>
      <c r="F11" s="19">
        <f>IFERROR(__xludf.DUMMYFUNCTION("""COMPUTED_VALUE"""),0.0)</f>
        <v>0</v>
      </c>
      <c r="G11" s="19">
        <f>IFERROR(__xludf.DUMMYFUNCTION("""COMPUTED_VALUE"""),32595.41)</f>
        <v>32595.41</v>
      </c>
      <c r="H11" s="19">
        <f>IFERROR(__xludf.DUMMYFUNCTION("""COMPUTED_VALUE"""),32265.41)</f>
        <v>32265.41</v>
      </c>
      <c r="I11" s="19">
        <f>IFERROR(__xludf.DUMMYFUNCTION("""COMPUTED_VALUE"""),322.6541)</f>
        <v>322.6541</v>
      </c>
      <c r="J11" s="19">
        <f>IFERROR(__xludf.DUMMYFUNCTION("""COMPUTED_VALUE"""),322.65)</f>
        <v>322.65</v>
      </c>
      <c r="K11" s="19">
        <f>IFERROR(__xludf.DUMMYFUNCTION("""COMPUTED_VALUE"""),0.0)</f>
        <v>0</v>
      </c>
      <c r="L11" s="20" t="b">
        <v>0</v>
      </c>
    </row>
    <row r="12">
      <c r="A12" s="14">
        <f>IFERROR(__xludf.DUMMYFUNCTION("""COMPUTED_VALUE"""),2.0265011E7)</f>
        <v>20265011</v>
      </c>
      <c r="B12" s="14" t="str">
        <f>IFERROR(__xludf.DUMMYFUNCTION("""COMPUTED_VALUE"""),"August Boehnlein")</f>
        <v>August Boehnlein</v>
      </c>
      <c r="C12" s="14" t="b">
        <f>IFERROR(__xludf.DUMMYFUNCTION("""COMPUTED_VALUE"""),FALSE)</f>
        <v>0</v>
      </c>
      <c r="D12" s="21" t="str">
        <f>IFERROR(__xludf.DUMMYFUNCTION("""COMPUTED_VALUE"""),"")</f>
        <v/>
      </c>
      <c r="E12" s="15">
        <f>IFERROR(__xludf.DUMMYFUNCTION("""COMPUTED_VALUE"""),24299.55)</f>
        <v>24299.55</v>
      </c>
      <c r="F12" s="15">
        <f>IFERROR(__xludf.DUMMYFUNCTION("""COMPUTED_VALUE"""),0.0)</f>
        <v>0</v>
      </c>
      <c r="G12" s="15">
        <f>IFERROR(__xludf.DUMMYFUNCTION("""COMPUTED_VALUE"""),0.0)</f>
        <v>0</v>
      </c>
      <c r="H12" s="15">
        <f>IFERROR(__xludf.DUMMYFUNCTION("""COMPUTED_VALUE"""),0.0)</f>
        <v>0</v>
      </c>
      <c r="I12" s="15">
        <f>IFERROR(__xludf.DUMMYFUNCTION("""COMPUTED_VALUE"""),242.9955)</f>
        <v>242.9955</v>
      </c>
      <c r="J12" s="15">
        <f>IFERROR(__xludf.DUMMYFUNCTION("""COMPUTED_VALUE"""),0.0)</f>
        <v>0</v>
      </c>
      <c r="K12" s="15">
        <f>IFERROR(__xludf.DUMMYFUNCTION("""COMPUTED_VALUE"""),0.0)</f>
        <v>0</v>
      </c>
      <c r="L12" s="14" t="b">
        <v>0</v>
      </c>
    </row>
    <row r="13">
      <c r="A13" s="17">
        <f>IFERROR(__xludf.DUMMYFUNCTION("""COMPUTED_VALUE"""),2.0265012E7)</f>
        <v>20265012</v>
      </c>
      <c r="B13" s="17" t="str">
        <f>IFERROR(__xludf.DUMMYFUNCTION("""COMPUTED_VALUE"""),"Deborah Tippie")</f>
        <v>Deborah Tippie</v>
      </c>
      <c r="C13" s="17" t="b">
        <f>IFERROR(__xludf.DUMMYFUNCTION("""COMPUTED_VALUE"""),TRUE)</f>
        <v>1</v>
      </c>
      <c r="D13" s="18">
        <f>IFERROR(__xludf.DUMMYFUNCTION("""COMPUTED_VALUE"""),1.0)</f>
        <v>1</v>
      </c>
      <c r="E13" s="19">
        <f>IFERROR(__xludf.DUMMYFUNCTION("""COMPUTED_VALUE"""),506.25)</f>
        <v>506.25</v>
      </c>
      <c r="F13" s="19">
        <f>IFERROR(__xludf.DUMMYFUNCTION("""COMPUTED_VALUE"""),0.0)</f>
        <v>0</v>
      </c>
      <c r="G13" s="19">
        <f>IFERROR(__xludf.DUMMYFUNCTION("""COMPUTED_VALUE"""),506.25)</f>
        <v>506.25</v>
      </c>
      <c r="H13" s="19">
        <f>IFERROR(__xludf.DUMMYFUNCTION("""COMPUTED_VALUE"""),506.25)</f>
        <v>506.25</v>
      </c>
      <c r="I13" s="19">
        <f>IFERROR(__xludf.DUMMYFUNCTION("""COMPUTED_VALUE"""),5.0625)</f>
        <v>5.0625</v>
      </c>
      <c r="J13" s="19">
        <f>IFERROR(__xludf.DUMMYFUNCTION("""COMPUTED_VALUE"""),5.06)</f>
        <v>5.06</v>
      </c>
      <c r="K13" s="19">
        <f>IFERROR(__xludf.DUMMYFUNCTION("""COMPUTED_VALUE"""),0.0)</f>
        <v>0</v>
      </c>
      <c r="L13" s="20" t="b">
        <v>0</v>
      </c>
    </row>
    <row r="14">
      <c r="A14" s="17">
        <f>IFERROR(__xludf.DUMMYFUNCTION("""COMPUTED_VALUE"""),2.0265013E7)</f>
        <v>20265013</v>
      </c>
      <c r="B14" s="17" t="str">
        <f>IFERROR(__xludf.DUMMYFUNCTION("""COMPUTED_VALUE"""),"INS - Jeremiah Jenkins")</f>
        <v>INS - Jeremiah Jenkins</v>
      </c>
      <c r="C14" s="17" t="b">
        <f>IFERROR(__xludf.DUMMYFUNCTION("""COMPUTED_VALUE"""),TRUE)</f>
        <v>1</v>
      </c>
      <c r="D14" s="23">
        <f>IFERROR(__xludf.DUMMYFUNCTION("""COMPUTED_VALUE"""),0.11396003940994305)</f>
        <v>0.1139600394</v>
      </c>
      <c r="E14" s="19">
        <f>IFERROR(__xludf.DUMMYFUNCTION("""COMPUTED_VALUE"""),0.0)</f>
        <v>0</v>
      </c>
      <c r="F14" s="19">
        <f>IFERROR(__xludf.DUMMYFUNCTION("""COMPUTED_VALUE"""),17579.32)</f>
        <v>17579.32</v>
      </c>
      <c r="G14" s="19">
        <f>IFERROR(__xludf.DUMMYFUNCTION("""COMPUTED_VALUE"""),17579.32)</f>
        <v>17579.32</v>
      </c>
      <c r="H14" s="19">
        <f>IFERROR(__xludf.DUMMYFUNCTION("""COMPUTED_VALUE"""),17579.32)</f>
        <v>17579.32</v>
      </c>
      <c r="I14" s="19">
        <f>IFERROR(__xludf.DUMMYFUNCTION("""COMPUTED_VALUE"""),175.7932)</f>
        <v>175.7932</v>
      </c>
      <c r="J14" s="19">
        <f>IFERROR(__xludf.DUMMYFUNCTION("""COMPUTED_VALUE"""),175.79)</f>
        <v>175.79</v>
      </c>
      <c r="K14" s="19">
        <f>IFERROR(__xludf.DUMMYFUNCTION("""COMPUTED_VALUE"""),0.0)</f>
        <v>0</v>
      </c>
      <c r="L14" s="20" t="b">
        <v>0</v>
      </c>
    </row>
    <row r="15">
      <c r="A15" s="14">
        <f>IFERROR(__xludf.DUMMYFUNCTION("""COMPUTED_VALUE"""),2.0265014E7)</f>
        <v>20265014</v>
      </c>
      <c r="B15" s="14" t="str">
        <f>IFERROR(__xludf.DUMMYFUNCTION("""COMPUTED_VALUE"""),"INS - Floyd Cain Jr.")</f>
        <v>INS - Floyd Cain Jr.</v>
      </c>
      <c r="C15" s="14" t="b">
        <f>IFERROR(__xludf.DUMMYFUNCTION("""COMPUTED_VALUE"""),FALSE)</f>
        <v>0</v>
      </c>
      <c r="D15" s="21" t="str">
        <f>IFERROR(__xludf.DUMMYFUNCTION("""COMPUTED_VALUE"""),"")</f>
        <v/>
      </c>
      <c r="E15" s="15">
        <f>IFERROR(__xludf.DUMMYFUNCTION("""COMPUTED_VALUE"""),0.0)</f>
        <v>0</v>
      </c>
      <c r="F15" s="15">
        <f>IFERROR(__xludf.DUMMYFUNCTION("""COMPUTED_VALUE"""),0.0)</f>
        <v>0</v>
      </c>
      <c r="G15" s="15">
        <f>IFERROR(__xludf.DUMMYFUNCTION("""COMPUTED_VALUE"""),0.0)</f>
        <v>0</v>
      </c>
      <c r="H15" s="15">
        <f>IFERROR(__xludf.DUMMYFUNCTION("""COMPUTED_VALUE"""),0.0)</f>
        <v>0</v>
      </c>
      <c r="I15" s="15">
        <f>IFERROR(__xludf.DUMMYFUNCTION("""COMPUTED_VALUE"""),0.0)</f>
        <v>0</v>
      </c>
      <c r="J15" s="15">
        <f>IFERROR(__xludf.DUMMYFUNCTION("""COMPUTED_VALUE"""),0.0)</f>
        <v>0</v>
      </c>
      <c r="K15" s="15">
        <f>IFERROR(__xludf.DUMMYFUNCTION("""COMPUTED_VALUE"""),0.0)</f>
        <v>0</v>
      </c>
      <c r="L15" s="14" t="b">
        <v>0</v>
      </c>
    </row>
    <row r="16">
      <c r="A16" s="17">
        <f>IFERROR(__xludf.DUMMYFUNCTION("""COMPUTED_VALUE"""),2.0265015E7)</f>
        <v>20265015</v>
      </c>
      <c r="B16" s="17" t="str">
        <f>IFERROR(__xludf.DUMMYFUNCTION("""COMPUTED_VALUE"""),"Robert Kissell")</f>
        <v>Robert Kissell</v>
      </c>
      <c r="C16" s="17" t="b">
        <f>IFERROR(__xludf.DUMMYFUNCTION("""COMPUTED_VALUE"""),TRUE)</f>
        <v>1</v>
      </c>
      <c r="D16" s="18">
        <f>IFERROR(__xludf.DUMMYFUNCTION("""COMPUTED_VALUE"""),0.3724569529598942)</f>
        <v>0.372456953</v>
      </c>
      <c r="E16" s="19">
        <f>IFERROR(__xludf.DUMMYFUNCTION("""COMPUTED_VALUE"""),11560.0)</f>
        <v>11560</v>
      </c>
      <c r="F16" s="19">
        <f>IFERROR(__xludf.DUMMYFUNCTION("""COMPUTED_VALUE"""),2607.0599999999995)</f>
        <v>2607.06</v>
      </c>
      <c r="G16" s="19">
        <f>IFERROR(__xludf.DUMMYFUNCTION("""COMPUTED_VALUE"""),14167.06)</f>
        <v>14167.06</v>
      </c>
      <c r="H16" s="19">
        <f>IFERROR(__xludf.DUMMYFUNCTION("""COMPUTED_VALUE"""),14167.06)</f>
        <v>14167.06</v>
      </c>
      <c r="I16" s="19">
        <f>IFERROR(__xludf.DUMMYFUNCTION("""COMPUTED_VALUE"""),141.6706)</f>
        <v>141.6706</v>
      </c>
      <c r="J16" s="19">
        <f>IFERROR(__xludf.DUMMYFUNCTION("""COMPUTED_VALUE"""),141.67)</f>
        <v>141.67</v>
      </c>
      <c r="K16" s="19">
        <f>IFERROR(__xludf.DUMMYFUNCTION("""COMPUTED_VALUE"""),0.0)</f>
        <v>0</v>
      </c>
      <c r="L16" s="20" t="b">
        <v>0</v>
      </c>
    </row>
    <row r="17">
      <c r="A17" s="14">
        <f>IFERROR(__xludf.DUMMYFUNCTION("""COMPUTED_VALUE"""),2.0265016E7)</f>
        <v>20265016</v>
      </c>
      <c r="B17" s="14" t="str">
        <f>IFERROR(__xludf.DUMMYFUNCTION("""COMPUTED_VALUE"""),"Jason Rutan")</f>
        <v>Jason Rutan</v>
      </c>
      <c r="C17" s="14" t="b">
        <f>IFERROR(__xludf.DUMMYFUNCTION("""COMPUTED_VALUE"""),FALSE)</f>
        <v>0</v>
      </c>
      <c r="D17" s="21" t="str">
        <f>IFERROR(__xludf.DUMMYFUNCTION("""COMPUTED_VALUE"""),"")</f>
        <v/>
      </c>
      <c r="E17" s="15">
        <f>IFERROR(__xludf.DUMMYFUNCTION("""COMPUTED_VALUE"""),19468.5)</f>
        <v>19468.5</v>
      </c>
      <c r="F17" s="15">
        <f>IFERROR(__xludf.DUMMYFUNCTION("""COMPUTED_VALUE"""),0.0)</f>
        <v>0</v>
      </c>
      <c r="G17" s="15">
        <f>IFERROR(__xludf.DUMMYFUNCTION("""COMPUTED_VALUE"""),0.0)</f>
        <v>0</v>
      </c>
      <c r="H17" s="15">
        <f>IFERROR(__xludf.DUMMYFUNCTION("""COMPUTED_VALUE"""),0.0)</f>
        <v>0</v>
      </c>
      <c r="I17" s="15">
        <f>IFERROR(__xludf.DUMMYFUNCTION("""COMPUTED_VALUE"""),194.685)</f>
        <v>194.685</v>
      </c>
      <c r="J17" s="15">
        <f>IFERROR(__xludf.DUMMYFUNCTION("""COMPUTED_VALUE"""),0.0)</f>
        <v>0</v>
      </c>
      <c r="K17" s="15">
        <f>IFERROR(__xludf.DUMMYFUNCTION("""COMPUTED_VALUE"""),0.0)</f>
        <v>0</v>
      </c>
      <c r="L17" s="14" t="b">
        <v>0</v>
      </c>
    </row>
    <row r="18">
      <c r="A18" s="24">
        <f>IFERROR(__xludf.DUMMYFUNCTION("""COMPUTED_VALUE"""),2.0265017E7)</f>
        <v>20265017</v>
      </c>
      <c r="B18" s="24" t="str">
        <f>IFERROR(__xludf.DUMMYFUNCTION("""COMPUTED_VALUE"""),"Kristen Adams")</f>
        <v>Kristen Adams</v>
      </c>
      <c r="C18" s="24" t="b">
        <f>IFERROR(__xludf.DUMMYFUNCTION("""COMPUTED_VALUE"""),TRUE)</f>
        <v>1</v>
      </c>
      <c r="D18" s="25" t="str">
        <f>IFERROR(__xludf.DUMMYFUNCTION("""COMPUTED_VALUE"""),"")</f>
        <v/>
      </c>
      <c r="E18" s="26">
        <f>IFERROR(__xludf.DUMMYFUNCTION("""COMPUTED_VALUE"""),28121.11)</f>
        <v>28121.11</v>
      </c>
      <c r="F18" s="26">
        <f>IFERROR(__xludf.DUMMYFUNCTION("""COMPUTED_VALUE"""),199.61999999999898)</f>
        <v>199.62</v>
      </c>
      <c r="G18" s="26">
        <f>IFERROR(__xludf.DUMMYFUNCTION("""COMPUTED_VALUE"""),28320.73)</f>
        <v>28320.73</v>
      </c>
      <c r="H18" s="26">
        <f>IFERROR(__xludf.DUMMYFUNCTION("""COMPUTED_VALUE"""),28320.73)</f>
        <v>28320.73</v>
      </c>
      <c r="I18" s="26">
        <f>IFERROR(__xludf.DUMMYFUNCTION("""COMPUTED_VALUE"""),283.2073)</f>
        <v>283.2073</v>
      </c>
      <c r="J18" s="26">
        <f>IFERROR(__xludf.DUMMYFUNCTION("""COMPUTED_VALUE"""),242.8)</f>
        <v>242.8</v>
      </c>
      <c r="K18" s="26">
        <f>IFERROR(__xludf.DUMMYFUNCTION("""COMPUTED_VALUE"""),40.41)</f>
        <v>40.41</v>
      </c>
      <c r="L18" s="27" t="b">
        <v>0</v>
      </c>
    </row>
    <row r="19">
      <c r="A19" s="14">
        <f>IFERROR(__xludf.DUMMYFUNCTION("""COMPUTED_VALUE"""),2.0265018E7)</f>
        <v>20265018</v>
      </c>
      <c r="B19" s="14" t="str">
        <f>IFERROR(__xludf.DUMMYFUNCTION("""COMPUTED_VALUE"""),"CHIP - Carol Steed")</f>
        <v>CHIP - Carol Steed</v>
      </c>
      <c r="C19" s="14" t="b">
        <f>IFERROR(__xludf.DUMMYFUNCTION("""COMPUTED_VALUE"""),FALSE)</f>
        <v>0</v>
      </c>
      <c r="D19" s="21" t="str">
        <f>IFERROR(__xludf.DUMMYFUNCTION("""COMPUTED_VALUE"""),"")</f>
        <v/>
      </c>
      <c r="E19" s="15">
        <f>IFERROR(__xludf.DUMMYFUNCTION("""COMPUTED_VALUE"""),11265.0)</f>
        <v>11265</v>
      </c>
      <c r="F19" s="15">
        <f>IFERROR(__xludf.DUMMYFUNCTION("""COMPUTED_VALUE"""),0.0)</f>
        <v>0</v>
      </c>
      <c r="G19" s="15">
        <f>IFERROR(__xludf.DUMMYFUNCTION("""COMPUTED_VALUE"""),0.0)</f>
        <v>0</v>
      </c>
      <c r="H19" s="15">
        <f>IFERROR(__xludf.DUMMYFUNCTION("""COMPUTED_VALUE"""),0.0)</f>
        <v>0</v>
      </c>
      <c r="I19" s="15">
        <f>IFERROR(__xludf.DUMMYFUNCTION("""COMPUTED_VALUE"""),112.65)</f>
        <v>112.65</v>
      </c>
      <c r="J19" s="15">
        <f>IFERROR(__xludf.DUMMYFUNCTION("""COMPUTED_VALUE"""),0.0)</f>
        <v>0</v>
      </c>
      <c r="K19" s="15">
        <f>IFERROR(__xludf.DUMMYFUNCTION("""COMPUTED_VALUE"""),0.0)</f>
        <v>0</v>
      </c>
      <c r="L19" s="14" t="b">
        <v>0</v>
      </c>
    </row>
    <row r="20">
      <c r="A20" s="14">
        <f>IFERROR(__xludf.DUMMYFUNCTION("""COMPUTED_VALUE"""),2.0265019E7)</f>
        <v>20265019</v>
      </c>
      <c r="B20" s="14" t="str">
        <f>IFERROR(__xludf.DUMMYFUNCTION("""COMPUTED_VALUE"""),"Amy  Hoff")</f>
        <v>Amy  Hoff</v>
      </c>
      <c r="C20" s="14" t="b">
        <f>IFERROR(__xludf.DUMMYFUNCTION("""COMPUTED_VALUE"""),FALSE)</f>
        <v>0</v>
      </c>
      <c r="D20" s="21" t="str">
        <f>IFERROR(__xludf.DUMMYFUNCTION("""COMPUTED_VALUE"""),"")</f>
        <v/>
      </c>
      <c r="E20" s="15">
        <f>IFERROR(__xludf.DUMMYFUNCTION("""COMPUTED_VALUE"""),5480.0)</f>
        <v>5480</v>
      </c>
      <c r="F20" s="15">
        <f>IFERROR(__xludf.DUMMYFUNCTION("""COMPUTED_VALUE"""),0.0)</f>
        <v>0</v>
      </c>
      <c r="G20" s="15">
        <f>IFERROR(__xludf.DUMMYFUNCTION("""COMPUTED_VALUE"""),0.0)</f>
        <v>0</v>
      </c>
      <c r="H20" s="15">
        <f>IFERROR(__xludf.DUMMYFUNCTION("""COMPUTED_VALUE"""),0.0)</f>
        <v>0</v>
      </c>
      <c r="I20" s="15">
        <f>IFERROR(__xludf.DUMMYFUNCTION("""COMPUTED_VALUE"""),54.800000000000004)</f>
        <v>54.8</v>
      </c>
      <c r="J20" s="15">
        <f>IFERROR(__xludf.DUMMYFUNCTION("""COMPUTED_VALUE"""),0.0)</f>
        <v>0</v>
      </c>
      <c r="K20" s="15">
        <f>IFERROR(__xludf.DUMMYFUNCTION("""COMPUTED_VALUE"""),0.0)</f>
        <v>0</v>
      </c>
      <c r="L20" s="14" t="b">
        <v>0</v>
      </c>
    </row>
    <row r="21">
      <c r="A21" s="17">
        <f>IFERROR(__xludf.DUMMYFUNCTION("""COMPUTED_VALUE"""),2.026502E7)</f>
        <v>20265020</v>
      </c>
      <c r="B21" s="17" t="str">
        <f>IFERROR(__xludf.DUMMYFUNCTION("""COMPUTED_VALUE"""),"Gianghua Gao")</f>
        <v>Gianghua Gao</v>
      </c>
      <c r="C21" s="17" t="b">
        <f>IFERROR(__xludf.DUMMYFUNCTION("""COMPUTED_VALUE"""),TRUE)</f>
        <v>1</v>
      </c>
      <c r="D21" s="18">
        <f>IFERROR(__xludf.DUMMYFUNCTION("""COMPUTED_VALUE"""),1.0)</f>
        <v>1</v>
      </c>
      <c r="E21" s="19">
        <f>IFERROR(__xludf.DUMMYFUNCTION("""COMPUTED_VALUE"""),590.0)</f>
        <v>590</v>
      </c>
      <c r="F21" s="19">
        <f>IFERROR(__xludf.DUMMYFUNCTION("""COMPUTED_VALUE"""),0.0)</f>
        <v>0</v>
      </c>
      <c r="G21" s="19">
        <f>IFERROR(__xludf.DUMMYFUNCTION("""COMPUTED_VALUE"""),590.0)</f>
        <v>590</v>
      </c>
      <c r="H21" s="19">
        <f>IFERROR(__xludf.DUMMYFUNCTION("""COMPUTED_VALUE"""),590.0)</f>
        <v>590</v>
      </c>
      <c r="I21" s="19">
        <f>IFERROR(__xludf.DUMMYFUNCTION("""COMPUTED_VALUE"""),5.9)</f>
        <v>5.9</v>
      </c>
      <c r="J21" s="19">
        <f>IFERROR(__xludf.DUMMYFUNCTION("""COMPUTED_VALUE"""),5.9)</f>
        <v>5.9</v>
      </c>
      <c r="K21" s="19">
        <f>IFERROR(__xludf.DUMMYFUNCTION("""COMPUTED_VALUE"""),0.0)</f>
        <v>0</v>
      </c>
      <c r="L21" s="20" t="b">
        <v>0</v>
      </c>
    </row>
    <row r="22">
      <c r="A22" s="14">
        <f>IFERROR(__xludf.DUMMYFUNCTION("""COMPUTED_VALUE"""),2.0265021E7)</f>
        <v>20265021</v>
      </c>
      <c r="B22" s="14" t="str">
        <f>IFERROR(__xludf.DUMMYFUNCTION("""COMPUTED_VALUE"""),"Mary Peitsmeyer")</f>
        <v>Mary Peitsmeyer</v>
      </c>
      <c r="C22" s="14" t="b">
        <f>IFERROR(__xludf.DUMMYFUNCTION("""COMPUTED_VALUE"""),FALSE)</f>
        <v>0</v>
      </c>
      <c r="D22" s="21" t="str">
        <f>IFERROR(__xludf.DUMMYFUNCTION("""COMPUTED_VALUE"""),"")</f>
        <v/>
      </c>
      <c r="E22" s="15">
        <f>IFERROR(__xludf.DUMMYFUNCTION("""COMPUTED_VALUE"""),17780.69)</f>
        <v>17780.69</v>
      </c>
      <c r="F22" s="15">
        <f>IFERROR(__xludf.DUMMYFUNCTION("""COMPUTED_VALUE"""),0.0)</f>
        <v>0</v>
      </c>
      <c r="G22" s="15">
        <f>IFERROR(__xludf.DUMMYFUNCTION("""COMPUTED_VALUE"""),0.0)</f>
        <v>0</v>
      </c>
      <c r="H22" s="15">
        <f>IFERROR(__xludf.DUMMYFUNCTION("""COMPUTED_VALUE"""),0.0)</f>
        <v>0</v>
      </c>
      <c r="I22" s="15">
        <f>IFERROR(__xludf.DUMMYFUNCTION("""COMPUTED_VALUE"""),177.80689999999998)</f>
        <v>177.8069</v>
      </c>
      <c r="J22" s="15">
        <f>IFERROR(__xludf.DUMMYFUNCTION("""COMPUTED_VALUE"""),0.0)</f>
        <v>0</v>
      </c>
      <c r="K22" s="15">
        <f>IFERROR(__xludf.DUMMYFUNCTION("""COMPUTED_VALUE"""),0.0)</f>
        <v>0</v>
      </c>
      <c r="L22" s="14" t="b">
        <v>0</v>
      </c>
    </row>
    <row r="23">
      <c r="A23" s="17">
        <f>IFERROR(__xludf.DUMMYFUNCTION("""COMPUTED_VALUE"""),2.0265022E7)</f>
        <v>20265022</v>
      </c>
      <c r="B23" s="17" t="str">
        <f>IFERROR(__xludf.DUMMYFUNCTION("""COMPUTED_VALUE"""),"James  Lintz")</f>
        <v>James  Lintz</v>
      </c>
      <c r="C23" s="17" t="b">
        <f>IFERROR(__xludf.DUMMYFUNCTION("""COMPUTED_VALUE"""),TRUE)</f>
        <v>1</v>
      </c>
      <c r="D23" s="18">
        <f>IFERROR(__xludf.DUMMYFUNCTION("""COMPUTED_VALUE"""),1.0)</f>
        <v>1</v>
      </c>
      <c r="E23" s="19">
        <f>IFERROR(__xludf.DUMMYFUNCTION("""COMPUTED_VALUE"""),590.0)</f>
        <v>590</v>
      </c>
      <c r="F23" s="19">
        <f>IFERROR(__xludf.DUMMYFUNCTION("""COMPUTED_VALUE"""),0.0)</f>
        <v>0</v>
      </c>
      <c r="G23" s="19">
        <f>IFERROR(__xludf.DUMMYFUNCTION("""COMPUTED_VALUE"""),590.0)</f>
        <v>590</v>
      </c>
      <c r="H23" s="19">
        <f>IFERROR(__xludf.DUMMYFUNCTION("""COMPUTED_VALUE"""),590.0)</f>
        <v>590</v>
      </c>
      <c r="I23" s="19">
        <f>IFERROR(__xludf.DUMMYFUNCTION("""COMPUTED_VALUE"""),5.9)</f>
        <v>5.9</v>
      </c>
      <c r="J23" s="19">
        <f>IFERROR(__xludf.DUMMYFUNCTION("""COMPUTED_VALUE"""),5.9)</f>
        <v>5.9</v>
      </c>
      <c r="K23" s="19">
        <f>IFERROR(__xludf.DUMMYFUNCTION("""COMPUTED_VALUE"""),0.0)</f>
        <v>0</v>
      </c>
      <c r="L23" s="20" t="b">
        <v>0</v>
      </c>
    </row>
    <row r="24">
      <c r="A24" s="24">
        <f>IFERROR(__xludf.DUMMYFUNCTION("""COMPUTED_VALUE"""),2.0265023E7)</f>
        <v>20265023</v>
      </c>
      <c r="B24" s="24" t="str">
        <f>IFERROR(__xludf.DUMMYFUNCTION("""COMPUTED_VALUE"""),"Jessica Lansford")</f>
        <v>Jessica Lansford</v>
      </c>
      <c r="C24" s="24" t="b">
        <f>IFERROR(__xludf.DUMMYFUNCTION("""COMPUTED_VALUE"""),TRUE)</f>
        <v>1</v>
      </c>
      <c r="D24" s="25">
        <f>IFERROR(__xludf.DUMMYFUNCTION("""COMPUTED_VALUE"""),0.9585635359116023)</f>
        <v>0.9585635359</v>
      </c>
      <c r="E24" s="26">
        <f>IFERROR(__xludf.DUMMYFUNCTION("""COMPUTED_VALUE"""),271.5)</f>
        <v>271.5</v>
      </c>
      <c r="F24" s="26">
        <f>IFERROR(__xludf.DUMMYFUNCTION("""COMPUTED_VALUE"""),0.0)</f>
        <v>0</v>
      </c>
      <c r="G24" s="26">
        <f>IFERROR(__xludf.DUMMYFUNCTION("""COMPUTED_VALUE"""),271.5)</f>
        <v>271.5</v>
      </c>
      <c r="H24" s="26">
        <f>IFERROR(__xludf.DUMMYFUNCTION("""COMPUTED_VALUE"""),271.5)</f>
        <v>271.5</v>
      </c>
      <c r="I24" s="26">
        <f>IFERROR(__xludf.DUMMYFUNCTION("""COMPUTED_VALUE"""),2.715)</f>
        <v>2.715</v>
      </c>
      <c r="J24" s="26">
        <f>IFERROR(__xludf.DUMMYFUNCTION("""COMPUTED_VALUE"""),0.0)</f>
        <v>0</v>
      </c>
      <c r="K24" s="26">
        <f>IFERROR(__xludf.DUMMYFUNCTION("""COMPUTED_VALUE"""),2.72)</f>
        <v>2.72</v>
      </c>
      <c r="L24" s="24" t="b">
        <v>0</v>
      </c>
    </row>
    <row r="25">
      <c r="A25" s="17">
        <f>IFERROR(__xludf.DUMMYFUNCTION("""COMPUTED_VALUE"""),2.0265024E7)</f>
        <v>20265024</v>
      </c>
      <c r="B25" s="17" t="str">
        <f>IFERROR(__xludf.DUMMYFUNCTION("""COMPUTED_VALUE"""),"William Barrett")</f>
        <v>William Barrett</v>
      </c>
      <c r="C25" s="17" t="b">
        <f>IFERROR(__xludf.DUMMYFUNCTION("""COMPUTED_VALUE"""),TRUE)</f>
        <v>1</v>
      </c>
      <c r="D25" s="18">
        <f>IFERROR(__xludf.DUMMYFUNCTION("""COMPUTED_VALUE"""),0.5061728395061729)</f>
        <v>0.5061728395</v>
      </c>
      <c r="E25" s="19">
        <f>IFERROR(__xludf.DUMMYFUNCTION("""COMPUTED_VALUE"""),506.25)</f>
        <v>506.25</v>
      </c>
      <c r="F25" s="19">
        <f>IFERROR(__xludf.DUMMYFUNCTION("""COMPUTED_VALUE"""),0.0)</f>
        <v>0</v>
      </c>
      <c r="G25" s="19">
        <f>IFERROR(__xludf.DUMMYFUNCTION("""COMPUTED_VALUE"""),506.25)</f>
        <v>506.25</v>
      </c>
      <c r="H25" s="19">
        <f>IFERROR(__xludf.DUMMYFUNCTION("""COMPUTED_VALUE"""),506.25)</f>
        <v>506.25</v>
      </c>
      <c r="I25" s="19">
        <f>IFERROR(__xludf.DUMMYFUNCTION("""COMPUTED_VALUE"""),5.0625)</f>
        <v>5.0625</v>
      </c>
      <c r="J25" s="19">
        <f>IFERROR(__xludf.DUMMYFUNCTION("""COMPUTED_VALUE"""),5.06)</f>
        <v>5.06</v>
      </c>
      <c r="K25" s="19">
        <f>IFERROR(__xludf.DUMMYFUNCTION("""COMPUTED_VALUE"""),0.0)</f>
        <v>0</v>
      </c>
      <c r="L25" s="20" t="b">
        <v>0</v>
      </c>
    </row>
    <row r="26">
      <c r="A26" s="17">
        <f>IFERROR(__xludf.DUMMYFUNCTION("""COMPUTED_VALUE"""),2.0265025E7)</f>
        <v>20265025</v>
      </c>
      <c r="B26" s="17" t="str">
        <f>IFERROR(__xludf.DUMMYFUNCTION("""COMPUTED_VALUE"""),"Becky Fiessinger")</f>
        <v>Becky Fiessinger</v>
      </c>
      <c r="C26" s="17" t="b">
        <f>IFERROR(__xludf.DUMMYFUNCTION("""COMPUTED_VALUE"""),TRUE)</f>
        <v>1</v>
      </c>
      <c r="D26" s="18">
        <f>IFERROR(__xludf.DUMMYFUNCTION("""COMPUTED_VALUE"""),0.3677140062597809)</f>
        <v>0.3677140063</v>
      </c>
      <c r="E26" s="19">
        <f>IFERROR(__xludf.DUMMYFUNCTION("""COMPUTED_VALUE"""),24570.0)</f>
        <v>24570</v>
      </c>
      <c r="F26" s="19">
        <f>IFERROR(__xludf.DUMMYFUNCTION("""COMPUTED_VALUE"""),990.0)</f>
        <v>990</v>
      </c>
      <c r="G26" s="19">
        <f>IFERROR(__xludf.DUMMYFUNCTION("""COMPUTED_VALUE"""),25560.0)</f>
        <v>25560</v>
      </c>
      <c r="H26" s="19">
        <f>IFERROR(__xludf.DUMMYFUNCTION("""COMPUTED_VALUE"""),25560.0)</f>
        <v>25560</v>
      </c>
      <c r="I26" s="19">
        <f>IFERROR(__xludf.DUMMYFUNCTION("""COMPUTED_VALUE"""),255.6)</f>
        <v>255.6</v>
      </c>
      <c r="J26" s="19">
        <f>IFERROR(__xludf.DUMMYFUNCTION("""COMPUTED_VALUE"""),255.0)</f>
        <v>255</v>
      </c>
      <c r="K26" s="19">
        <f>IFERROR(__xludf.DUMMYFUNCTION("""COMPUTED_VALUE"""),0.0)</f>
        <v>0</v>
      </c>
      <c r="L26" s="20" t="b">
        <v>0</v>
      </c>
    </row>
    <row r="27">
      <c r="A27" s="14">
        <f>IFERROR(__xludf.DUMMYFUNCTION("""COMPUTED_VALUE"""),2.0265026E7)</f>
        <v>20265026</v>
      </c>
      <c r="B27" s="14" t="str">
        <f>IFERROR(__xludf.DUMMYFUNCTION("""COMPUTED_VALUE"""),"INS - Josh Gates")</f>
        <v>INS - Josh Gates</v>
      </c>
      <c r="C27" s="14" t="b">
        <f>IFERROR(__xludf.DUMMYFUNCTION("""COMPUTED_VALUE"""),FALSE)</f>
        <v>0</v>
      </c>
      <c r="D27" s="21" t="str">
        <f>IFERROR(__xludf.DUMMYFUNCTION("""COMPUTED_VALUE"""),"")</f>
        <v/>
      </c>
      <c r="E27" s="15">
        <f>IFERROR(__xludf.DUMMYFUNCTION("""COMPUTED_VALUE"""),0.0)</f>
        <v>0</v>
      </c>
      <c r="F27" s="15">
        <f>IFERROR(__xludf.DUMMYFUNCTION("""COMPUTED_VALUE"""),0.0)</f>
        <v>0</v>
      </c>
      <c r="G27" s="15">
        <f>IFERROR(__xludf.DUMMYFUNCTION("""COMPUTED_VALUE"""),0.0)</f>
        <v>0</v>
      </c>
      <c r="H27" s="15">
        <f>IFERROR(__xludf.DUMMYFUNCTION("""COMPUTED_VALUE"""),0.0)</f>
        <v>0</v>
      </c>
      <c r="I27" s="15">
        <f>IFERROR(__xludf.DUMMYFUNCTION("""COMPUTED_VALUE"""),0.0)</f>
        <v>0</v>
      </c>
      <c r="J27" s="15">
        <f>IFERROR(__xludf.DUMMYFUNCTION("""COMPUTED_VALUE"""),0.0)</f>
        <v>0</v>
      </c>
      <c r="K27" s="15">
        <f>IFERROR(__xludf.DUMMYFUNCTION("""COMPUTED_VALUE"""),0.0)</f>
        <v>0</v>
      </c>
      <c r="L27" s="14" t="b">
        <v>0</v>
      </c>
    </row>
    <row r="28">
      <c r="A28" s="14">
        <f>IFERROR(__xludf.DUMMYFUNCTION("""COMPUTED_VALUE"""),2.0265027E7)</f>
        <v>20265027</v>
      </c>
      <c r="B28" s="14" t="str">
        <f>IFERROR(__xludf.DUMMYFUNCTION("""COMPUTED_VALUE"""),"John Baumann")</f>
        <v>John Baumann</v>
      </c>
      <c r="C28" s="14" t="b">
        <f>IFERROR(__xludf.DUMMYFUNCTION("""COMPUTED_VALUE"""),FALSE)</f>
        <v>0</v>
      </c>
      <c r="D28" s="21" t="str">
        <f>IFERROR(__xludf.DUMMYFUNCTION("""COMPUTED_VALUE"""),"")</f>
        <v/>
      </c>
      <c r="E28" s="15">
        <f>IFERROR(__xludf.DUMMYFUNCTION("""COMPUTED_VALUE"""),0.0)</f>
        <v>0</v>
      </c>
      <c r="F28" s="15">
        <f>IFERROR(__xludf.DUMMYFUNCTION("""COMPUTED_VALUE"""),0.0)</f>
        <v>0</v>
      </c>
      <c r="G28" s="15">
        <f>IFERROR(__xludf.DUMMYFUNCTION("""COMPUTED_VALUE"""),0.0)</f>
        <v>0</v>
      </c>
      <c r="H28" s="15">
        <f>IFERROR(__xludf.DUMMYFUNCTION("""COMPUTED_VALUE"""),0.0)</f>
        <v>0</v>
      </c>
      <c r="I28" s="15">
        <f>IFERROR(__xludf.DUMMYFUNCTION("""COMPUTED_VALUE"""),0.0)</f>
        <v>0</v>
      </c>
      <c r="J28" s="15">
        <f>IFERROR(__xludf.DUMMYFUNCTION("""COMPUTED_VALUE"""),0.0)</f>
        <v>0</v>
      </c>
      <c r="K28" s="15">
        <f>IFERROR(__xludf.DUMMYFUNCTION("""COMPUTED_VALUE"""),0.0)</f>
        <v>0</v>
      </c>
      <c r="L28" s="14" t="b">
        <v>0</v>
      </c>
    </row>
    <row r="29">
      <c r="A29" s="17">
        <f>IFERROR(__xludf.DUMMYFUNCTION("""COMPUTED_VALUE"""),2.0265028E7)</f>
        <v>20265028</v>
      </c>
      <c r="B29" s="17" t="str">
        <f>IFERROR(__xludf.DUMMYFUNCTION("""COMPUTED_VALUE"""),"Andrew Wasouf")</f>
        <v>Andrew Wasouf</v>
      </c>
      <c r="C29" s="17" t="b">
        <f>IFERROR(__xludf.DUMMYFUNCTION("""COMPUTED_VALUE"""),TRUE)</f>
        <v>1</v>
      </c>
      <c r="D29" s="18">
        <f>IFERROR(__xludf.DUMMYFUNCTION("""COMPUTED_VALUE"""),0.5065013811224146)</f>
        <v>0.5065013811</v>
      </c>
      <c r="E29" s="19">
        <f>IFERROR(__xludf.DUMMYFUNCTION("""COMPUTED_VALUE"""),593.72)</f>
        <v>593.72</v>
      </c>
      <c r="F29" s="19">
        <f>IFERROR(__xludf.DUMMYFUNCTION("""COMPUTED_VALUE"""),0.0)</f>
        <v>0</v>
      </c>
      <c r="G29" s="19">
        <f>IFERROR(__xludf.DUMMYFUNCTION("""COMPUTED_VALUE"""),593.72)</f>
        <v>593.72</v>
      </c>
      <c r="H29" s="19">
        <f>IFERROR(__xludf.DUMMYFUNCTION("""COMPUTED_VALUE"""),593.72)</f>
        <v>593.72</v>
      </c>
      <c r="I29" s="19">
        <f>IFERROR(__xludf.DUMMYFUNCTION("""COMPUTED_VALUE"""),5.937200000000001)</f>
        <v>5.9372</v>
      </c>
      <c r="J29" s="19">
        <f>IFERROR(__xludf.DUMMYFUNCTION("""COMPUTED_VALUE"""),5.94)</f>
        <v>5.94</v>
      </c>
      <c r="K29" s="19">
        <f>IFERROR(__xludf.DUMMYFUNCTION("""COMPUTED_VALUE"""),0.0)</f>
        <v>0</v>
      </c>
      <c r="L29" s="20" t="b">
        <v>0</v>
      </c>
    </row>
    <row r="30">
      <c r="A30" s="14">
        <f>IFERROR(__xludf.DUMMYFUNCTION("""COMPUTED_VALUE"""),2.0265029E7)</f>
        <v>20265029</v>
      </c>
      <c r="B30" s="14" t="str">
        <f>IFERROR(__xludf.DUMMYFUNCTION("""COMPUTED_VALUE"""),"Joe Fiorita")</f>
        <v>Joe Fiorita</v>
      </c>
      <c r="C30" s="14" t="b">
        <f>IFERROR(__xludf.DUMMYFUNCTION("""COMPUTED_VALUE"""),FALSE)</f>
        <v>0</v>
      </c>
      <c r="D30" s="21">
        <f>IFERROR(__xludf.DUMMYFUNCTION("""COMPUTED_VALUE"""),0.5386190476190476)</f>
        <v>0.5386190476</v>
      </c>
      <c r="E30" s="15">
        <f>IFERROR(__xludf.DUMMYFUNCTION("""COMPUTED_VALUE"""),630.0)</f>
        <v>630</v>
      </c>
      <c r="F30" s="15">
        <f>IFERROR(__xludf.DUMMYFUNCTION("""COMPUTED_VALUE"""),0.0)</f>
        <v>0</v>
      </c>
      <c r="G30" s="15">
        <f>IFERROR(__xludf.DUMMYFUNCTION("""COMPUTED_VALUE"""),630.0)</f>
        <v>630</v>
      </c>
      <c r="H30" s="15">
        <f>IFERROR(__xludf.DUMMYFUNCTION("""COMPUTED_VALUE"""),0.0)</f>
        <v>0</v>
      </c>
      <c r="I30" s="15">
        <f>IFERROR(__xludf.DUMMYFUNCTION("""COMPUTED_VALUE"""),6.3)</f>
        <v>6.3</v>
      </c>
      <c r="J30" s="15">
        <f>IFERROR(__xludf.DUMMYFUNCTION("""COMPUTED_VALUE"""),0.0)</f>
        <v>0</v>
      </c>
      <c r="K30" s="15">
        <f>IFERROR(__xludf.DUMMYFUNCTION("""COMPUTED_VALUE"""),0.0)</f>
        <v>0</v>
      </c>
      <c r="L30" s="14" t="b">
        <v>0</v>
      </c>
    </row>
    <row r="31">
      <c r="A31" s="14">
        <f>IFERROR(__xludf.DUMMYFUNCTION("""COMPUTED_VALUE"""),2.026503E7)</f>
        <v>20265030</v>
      </c>
      <c r="B31" s="14" t="str">
        <f>IFERROR(__xludf.DUMMYFUNCTION("""COMPUTED_VALUE"""),"INS - Randy Brinkman")</f>
        <v>INS - Randy Brinkman</v>
      </c>
      <c r="C31" s="14" t="b">
        <f>IFERROR(__xludf.DUMMYFUNCTION("""COMPUTED_VALUE"""),FALSE)</f>
        <v>0</v>
      </c>
      <c r="D31" s="21" t="str">
        <f>IFERROR(__xludf.DUMMYFUNCTION("""COMPUTED_VALUE"""),"")</f>
        <v/>
      </c>
      <c r="E31" s="15">
        <f>IFERROR(__xludf.DUMMYFUNCTION("""COMPUTED_VALUE"""),0.0)</f>
        <v>0</v>
      </c>
      <c r="F31" s="15">
        <f>IFERROR(__xludf.DUMMYFUNCTION("""COMPUTED_VALUE"""),0.0)</f>
        <v>0</v>
      </c>
      <c r="G31" s="15">
        <f>IFERROR(__xludf.DUMMYFUNCTION("""COMPUTED_VALUE"""),0.0)</f>
        <v>0</v>
      </c>
      <c r="H31" s="15">
        <f>IFERROR(__xludf.DUMMYFUNCTION("""COMPUTED_VALUE"""),0.0)</f>
        <v>0</v>
      </c>
      <c r="I31" s="15">
        <f>IFERROR(__xludf.DUMMYFUNCTION("""COMPUTED_VALUE"""),0.0)</f>
        <v>0</v>
      </c>
      <c r="J31" s="15">
        <f>IFERROR(__xludf.DUMMYFUNCTION("""COMPUTED_VALUE"""),0.0)</f>
        <v>0</v>
      </c>
      <c r="K31" s="15">
        <f>IFERROR(__xludf.DUMMYFUNCTION("""COMPUTED_VALUE"""),0.0)</f>
        <v>0</v>
      </c>
      <c r="L31" s="14" t="b">
        <v>0</v>
      </c>
    </row>
    <row r="32">
      <c r="A32" s="14">
        <f>IFERROR(__xludf.DUMMYFUNCTION("""COMPUTED_VALUE"""),2.0265031E7)</f>
        <v>20265031</v>
      </c>
      <c r="B32" s="14" t="str">
        <f>IFERROR(__xludf.DUMMYFUNCTION("""COMPUTED_VALUE"""),"INS - Pastor David Douglas's home")</f>
        <v>INS - Pastor David Douglas's home</v>
      </c>
      <c r="C32" s="14" t="b">
        <f>IFERROR(__xludf.DUMMYFUNCTION("""COMPUTED_VALUE"""),FALSE)</f>
        <v>0</v>
      </c>
      <c r="D32" s="21" t="str">
        <f>IFERROR(__xludf.DUMMYFUNCTION("""COMPUTED_VALUE"""),"")</f>
        <v/>
      </c>
      <c r="E32" s="15">
        <f>IFERROR(__xludf.DUMMYFUNCTION("""COMPUTED_VALUE"""),33908.02)</f>
        <v>33908.02</v>
      </c>
      <c r="F32" s="15">
        <f>IFERROR(__xludf.DUMMYFUNCTION("""COMPUTED_VALUE"""),0.0)</f>
        <v>0</v>
      </c>
      <c r="G32" s="15">
        <f>IFERROR(__xludf.DUMMYFUNCTION("""COMPUTED_VALUE"""),0.0)</f>
        <v>0</v>
      </c>
      <c r="H32" s="15">
        <f>IFERROR(__xludf.DUMMYFUNCTION("""COMPUTED_VALUE"""),0.0)</f>
        <v>0</v>
      </c>
      <c r="I32" s="15">
        <f>IFERROR(__xludf.DUMMYFUNCTION("""COMPUTED_VALUE"""),339.0802)</f>
        <v>339.0802</v>
      </c>
      <c r="J32" s="15">
        <f>IFERROR(__xludf.DUMMYFUNCTION("""COMPUTED_VALUE"""),0.0)</f>
        <v>0</v>
      </c>
      <c r="K32" s="15">
        <f>IFERROR(__xludf.DUMMYFUNCTION("""COMPUTED_VALUE"""),0.0)</f>
        <v>0</v>
      </c>
      <c r="L32" s="14" t="b">
        <v>0</v>
      </c>
    </row>
    <row r="33">
      <c r="A33" s="14">
        <f>IFERROR(__xludf.DUMMYFUNCTION("""COMPUTED_VALUE"""),2.0265032E7)</f>
        <v>20265032</v>
      </c>
      <c r="B33" s="14" t="str">
        <f>IFERROR(__xludf.DUMMYFUNCTION("""COMPUTED_VALUE"""),"Rachel Conrad")</f>
        <v>Rachel Conrad</v>
      </c>
      <c r="C33" s="14" t="b">
        <f>IFERROR(__xludf.DUMMYFUNCTION("""COMPUTED_VALUE"""),FALSE)</f>
        <v>0</v>
      </c>
      <c r="D33" s="21" t="str">
        <f>IFERROR(__xludf.DUMMYFUNCTION("""COMPUTED_VALUE"""),"")</f>
        <v/>
      </c>
      <c r="E33" s="15">
        <f>IFERROR(__xludf.DUMMYFUNCTION("""COMPUTED_VALUE"""),0.0)</f>
        <v>0</v>
      </c>
      <c r="F33" s="15">
        <f>IFERROR(__xludf.DUMMYFUNCTION("""COMPUTED_VALUE"""),0.0)</f>
        <v>0</v>
      </c>
      <c r="G33" s="15">
        <f>IFERROR(__xludf.DUMMYFUNCTION("""COMPUTED_VALUE"""),0.0)</f>
        <v>0</v>
      </c>
      <c r="H33" s="15">
        <f>IFERROR(__xludf.DUMMYFUNCTION("""COMPUTED_VALUE"""),0.0)</f>
        <v>0</v>
      </c>
      <c r="I33" s="15">
        <f>IFERROR(__xludf.DUMMYFUNCTION("""COMPUTED_VALUE"""),0.0)</f>
        <v>0</v>
      </c>
      <c r="J33" s="15">
        <f>IFERROR(__xludf.DUMMYFUNCTION("""COMPUTED_VALUE"""),0.0)</f>
        <v>0</v>
      </c>
      <c r="K33" s="15">
        <f>IFERROR(__xludf.DUMMYFUNCTION("""COMPUTED_VALUE"""),0.0)</f>
        <v>0</v>
      </c>
      <c r="L33" s="14" t="b">
        <v>0</v>
      </c>
    </row>
    <row r="34">
      <c r="A34" s="14">
        <f>IFERROR(__xludf.DUMMYFUNCTION("""COMPUTED_VALUE"""),2.0265033E7)</f>
        <v>20265033</v>
      </c>
      <c r="B34" s="14" t="str">
        <f>IFERROR(__xludf.DUMMYFUNCTION("""COMPUTED_VALUE"""),"Ralph Lowe")</f>
        <v>Ralph Lowe</v>
      </c>
      <c r="C34" s="14" t="b">
        <f>IFERROR(__xludf.DUMMYFUNCTION("""COMPUTED_VALUE"""),FALSE)</f>
        <v>0</v>
      </c>
      <c r="D34" s="21" t="str">
        <f>IFERROR(__xludf.DUMMYFUNCTION("""COMPUTED_VALUE"""),"")</f>
        <v/>
      </c>
      <c r="E34" s="15">
        <f>IFERROR(__xludf.DUMMYFUNCTION("""COMPUTED_VALUE"""),0.0)</f>
        <v>0</v>
      </c>
      <c r="F34" s="15">
        <f>IFERROR(__xludf.DUMMYFUNCTION("""COMPUTED_VALUE"""),0.0)</f>
        <v>0</v>
      </c>
      <c r="G34" s="15">
        <f>IFERROR(__xludf.DUMMYFUNCTION("""COMPUTED_VALUE"""),0.0)</f>
        <v>0</v>
      </c>
      <c r="H34" s="15">
        <f>IFERROR(__xludf.DUMMYFUNCTION("""COMPUTED_VALUE"""),0.0)</f>
        <v>0</v>
      </c>
      <c r="I34" s="15">
        <f>IFERROR(__xludf.DUMMYFUNCTION("""COMPUTED_VALUE"""),0.0)</f>
        <v>0</v>
      </c>
      <c r="J34" s="15">
        <f>IFERROR(__xludf.DUMMYFUNCTION("""COMPUTED_VALUE"""),0.0)</f>
        <v>0</v>
      </c>
      <c r="K34" s="15">
        <f>IFERROR(__xludf.DUMMYFUNCTION("""COMPUTED_VALUE"""),0.0)</f>
        <v>0</v>
      </c>
      <c r="L34" s="14" t="b">
        <v>0</v>
      </c>
    </row>
    <row r="35">
      <c r="A35" s="14">
        <f>IFERROR(__xludf.DUMMYFUNCTION("""COMPUTED_VALUE"""),2.0265034E7)</f>
        <v>20265034</v>
      </c>
      <c r="B35" s="14" t="str">
        <f>IFERROR(__xludf.DUMMYFUNCTION("""COMPUTED_VALUE"""),"INS - Alicia Luedeke")</f>
        <v>INS - Alicia Luedeke</v>
      </c>
      <c r="C35" s="14" t="b">
        <f>IFERROR(__xludf.DUMMYFUNCTION("""COMPUTED_VALUE"""),FALSE)</f>
        <v>0</v>
      </c>
      <c r="D35" s="21">
        <f>IFERROR(__xludf.DUMMYFUNCTION("""COMPUTED_VALUE"""),1.0)</f>
        <v>1</v>
      </c>
      <c r="E35" s="15">
        <f>IFERROR(__xludf.DUMMYFUNCTION("""COMPUTED_VALUE"""),15106.78)</f>
        <v>15106.78</v>
      </c>
      <c r="F35" s="15">
        <f>IFERROR(__xludf.DUMMYFUNCTION("""COMPUTED_VALUE"""),0.0)</f>
        <v>0</v>
      </c>
      <c r="G35" s="15">
        <f>IFERROR(__xludf.DUMMYFUNCTION("""COMPUTED_VALUE"""),8340.95)</f>
        <v>8340.95</v>
      </c>
      <c r="H35" s="15">
        <f>IFERROR(__xludf.DUMMYFUNCTION("""COMPUTED_VALUE"""),0.0)</f>
        <v>0</v>
      </c>
      <c r="I35" s="15">
        <f>IFERROR(__xludf.DUMMYFUNCTION("""COMPUTED_VALUE"""),151.0678)</f>
        <v>151.0678</v>
      </c>
      <c r="J35" s="15">
        <f>IFERROR(__xludf.DUMMYFUNCTION("""COMPUTED_VALUE"""),0.0)</f>
        <v>0</v>
      </c>
      <c r="K35" s="15">
        <f>IFERROR(__xludf.DUMMYFUNCTION("""COMPUTED_VALUE"""),0.0)</f>
        <v>0</v>
      </c>
      <c r="L35" s="14" t="b">
        <v>0</v>
      </c>
    </row>
    <row r="36">
      <c r="A36" s="14">
        <f>IFERROR(__xludf.DUMMYFUNCTION("""COMPUTED_VALUE"""),2.0265035E7)</f>
        <v>20265035</v>
      </c>
      <c r="B36" s="14" t="str">
        <f>IFERROR(__xludf.DUMMYFUNCTION("""COMPUTED_VALUE"""),"Grant Pace")</f>
        <v>Grant Pace</v>
      </c>
      <c r="C36" s="14" t="b">
        <f>IFERROR(__xludf.DUMMYFUNCTION("""COMPUTED_VALUE"""),FALSE)</f>
        <v>0</v>
      </c>
      <c r="D36" s="21" t="str">
        <f>IFERROR(__xludf.DUMMYFUNCTION("""COMPUTED_VALUE"""),"")</f>
        <v/>
      </c>
      <c r="E36" s="15">
        <f>IFERROR(__xludf.DUMMYFUNCTION("""COMPUTED_VALUE"""),17037.2)</f>
        <v>17037.2</v>
      </c>
      <c r="F36" s="15">
        <f>IFERROR(__xludf.DUMMYFUNCTION("""COMPUTED_VALUE"""),0.0)</f>
        <v>0</v>
      </c>
      <c r="G36" s="15">
        <f>IFERROR(__xludf.DUMMYFUNCTION("""COMPUTED_VALUE"""),0.0)</f>
        <v>0</v>
      </c>
      <c r="H36" s="15">
        <f>IFERROR(__xludf.DUMMYFUNCTION("""COMPUTED_VALUE"""),0.0)</f>
        <v>0</v>
      </c>
      <c r="I36" s="15">
        <f>IFERROR(__xludf.DUMMYFUNCTION("""COMPUTED_VALUE"""),170.372)</f>
        <v>170.372</v>
      </c>
      <c r="J36" s="15">
        <f>IFERROR(__xludf.DUMMYFUNCTION("""COMPUTED_VALUE"""),0.0)</f>
        <v>0</v>
      </c>
      <c r="K36" s="15">
        <f>IFERROR(__xludf.DUMMYFUNCTION("""COMPUTED_VALUE"""),0.0)</f>
        <v>0</v>
      </c>
      <c r="L36" s="14" t="b">
        <v>0</v>
      </c>
    </row>
    <row r="37">
      <c r="A37" s="14">
        <f>IFERROR(__xludf.DUMMYFUNCTION("""COMPUTED_VALUE"""),2.0265036E7)</f>
        <v>20265036</v>
      </c>
      <c r="B37" s="14" t="str">
        <f>IFERROR(__xludf.DUMMYFUNCTION("""COMPUTED_VALUE"""),"INS - Brady Dowler")</f>
        <v>INS - Brady Dowler</v>
      </c>
      <c r="C37" s="14" t="b">
        <f>IFERROR(__xludf.DUMMYFUNCTION("""COMPUTED_VALUE"""),FALSE)</f>
        <v>0</v>
      </c>
      <c r="D37" s="21" t="str">
        <f>IFERROR(__xludf.DUMMYFUNCTION("""COMPUTED_VALUE"""),"")</f>
        <v/>
      </c>
      <c r="E37" s="15">
        <f>IFERROR(__xludf.DUMMYFUNCTION("""COMPUTED_VALUE"""),0.0)</f>
        <v>0</v>
      </c>
      <c r="F37" s="15">
        <f>IFERROR(__xludf.DUMMYFUNCTION("""COMPUTED_VALUE"""),0.0)</f>
        <v>0</v>
      </c>
      <c r="G37" s="15">
        <f>IFERROR(__xludf.DUMMYFUNCTION("""COMPUTED_VALUE"""),0.0)</f>
        <v>0</v>
      </c>
      <c r="H37" s="15">
        <f>IFERROR(__xludf.DUMMYFUNCTION("""COMPUTED_VALUE"""),0.0)</f>
        <v>0</v>
      </c>
      <c r="I37" s="15">
        <f>IFERROR(__xludf.DUMMYFUNCTION("""COMPUTED_VALUE"""),0.0)</f>
        <v>0</v>
      </c>
      <c r="J37" s="15">
        <f>IFERROR(__xludf.DUMMYFUNCTION("""COMPUTED_VALUE"""),0.0)</f>
        <v>0</v>
      </c>
      <c r="K37" s="15">
        <f>IFERROR(__xludf.DUMMYFUNCTION("""COMPUTED_VALUE"""),0.0)</f>
        <v>0</v>
      </c>
      <c r="L37" s="14" t="b">
        <v>0</v>
      </c>
    </row>
    <row r="38">
      <c r="A38" s="14">
        <f>IFERROR(__xludf.DUMMYFUNCTION("""COMPUTED_VALUE"""),2.0265037E7)</f>
        <v>20265037</v>
      </c>
      <c r="B38" s="14" t="str">
        <f>IFERROR(__xludf.DUMMYFUNCTION("""COMPUTED_VALUE"""),"INS - Chris Browning")</f>
        <v>INS - Chris Browning</v>
      </c>
      <c r="C38" s="14" t="b">
        <f>IFERROR(__xludf.DUMMYFUNCTION("""COMPUTED_VALUE"""),FALSE)</f>
        <v>0</v>
      </c>
      <c r="D38" s="21" t="str">
        <f>IFERROR(__xludf.DUMMYFUNCTION("""COMPUTED_VALUE"""),"")</f>
        <v/>
      </c>
      <c r="E38" s="15">
        <f>IFERROR(__xludf.DUMMYFUNCTION("""COMPUTED_VALUE"""),0.0)</f>
        <v>0</v>
      </c>
      <c r="F38" s="15">
        <f>IFERROR(__xludf.DUMMYFUNCTION("""COMPUTED_VALUE"""),0.0)</f>
        <v>0</v>
      </c>
      <c r="G38" s="15">
        <f>IFERROR(__xludf.DUMMYFUNCTION("""COMPUTED_VALUE"""),0.0)</f>
        <v>0</v>
      </c>
      <c r="H38" s="15">
        <f>IFERROR(__xludf.DUMMYFUNCTION("""COMPUTED_VALUE"""),0.0)</f>
        <v>0</v>
      </c>
      <c r="I38" s="15">
        <f>IFERROR(__xludf.DUMMYFUNCTION("""COMPUTED_VALUE"""),0.0)</f>
        <v>0</v>
      </c>
      <c r="J38" s="15">
        <f>IFERROR(__xludf.DUMMYFUNCTION("""COMPUTED_VALUE"""),0.0)</f>
        <v>0</v>
      </c>
      <c r="K38" s="15">
        <f>IFERROR(__xludf.DUMMYFUNCTION("""COMPUTED_VALUE"""),0.0)</f>
        <v>0</v>
      </c>
      <c r="L38" s="14" t="b">
        <v>0</v>
      </c>
    </row>
    <row r="39">
      <c r="A39" s="14">
        <f>IFERROR(__xludf.DUMMYFUNCTION("""COMPUTED_VALUE"""),2.0265038E7)</f>
        <v>20265038</v>
      </c>
      <c r="B39" s="14" t="str">
        <f>IFERROR(__xludf.DUMMYFUNCTION("""COMPUTED_VALUE"""),"INS - Matt Clifton")</f>
        <v>INS - Matt Clifton</v>
      </c>
      <c r="C39" s="14" t="b">
        <f>IFERROR(__xludf.DUMMYFUNCTION("""COMPUTED_VALUE"""),FALSE)</f>
        <v>0</v>
      </c>
      <c r="D39" s="21" t="str">
        <f>IFERROR(__xludf.DUMMYFUNCTION("""COMPUTED_VALUE"""),"")</f>
        <v/>
      </c>
      <c r="E39" s="15">
        <f>IFERROR(__xludf.DUMMYFUNCTION("""COMPUTED_VALUE"""),24328.8)</f>
        <v>24328.8</v>
      </c>
      <c r="F39" s="15">
        <f>IFERROR(__xludf.DUMMYFUNCTION("""COMPUTED_VALUE"""),0.0)</f>
        <v>0</v>
      </c>
      <c r="G39" s="15">
        <f>IFERROR(__xludf.DUMMYFUNCTION("""COMPUTED_VALUE"""),0.0)</f>
        <v>0</v>
      </c>
      <c r="H39" s="15">
        <f>IFERROR(__xludf.DUMMYFUNCTION("""COMPUTED_VALUE"""),0.0)</f>
        <v>0</v>
      </c>
      <c r="I39" s="15">
        <f>IFERROR(__xludf.DUMMYFUNCTION("""COMPUTED_VALUE"""),243.288)</f>
        <v>243.288</v>
      </c>
      <c r="J39" s="15">
        <f>IFERROR(__xludf.DUMMYFUNCTION("""COMPUTED_VALUE"""),0.0)</f>
        <v>0</v>
      </c>
      <c r="K39" s="15">
        <f>IFERROR(__xludf.DUMMYFUNCTION("""COMPUTED_VALUE"""),0.0)</f>
        <v>0</v>
      </c>
      <c r="L39" s="14" t="b">
        <v>0</v>
      </c>
    </row>
    <row r="40">
      <c r="A40" s="14">
        <f>IFERROR(__xludf.DUMMYFUNCTION("""COMPUTED_VALUE"""),2.0265039E7)</f>
        <v>20265039</v>
      </c>
      <c r="B40" s="14" t="str">
        <f>IFERROR(__xludf.DUMMYFUNCTION("""COMPUTED_VALUE"""),"Jason Schaefer")</f>
        <v>Jason Schaefer</v>
      </c>
      <c r="C40" s="14" t="b">
        <f>IFERROR(__xludf.DUMMYFUNCTION("""COMPUTED_VALUE"""),FALSE)</f>
        <v>0</v>
      </c>
      <c r="D40" s="21" t="str">
        <f>IFERROR(__xludf.DUMMYFUNCTION("""COMPUTED_VALUE"""),"")</f>
        <v/>
      </c>
      <c r="E40" s="15">
        <f>IFERROR(__xludf.DUMMYFUNCTION("""COMPUTED_VALUE"""),0.0)</f>
        <v>0</v>
      </c>
      <c r="F40" s="15">
        <f>IFERROR(__xludf.DUMMYFUNCTION("""COMPUTED_VALUE"""),0.0)</f>
        <v>0</v>
      </c>
      <c r="G40" s="15">
        <f>IFERROR(__xludf.DUMMYFUNCTION("""COMPUTED_VALUE"""),0.0)</f>
        <v>0</v>
      </c>
      <c r="H40" s="15">
        <f>IFERROR(__xludf.DUMMYFUNCTION("""COMPUTED_VALUE"""),0.0)</f>
        <v>0</v>
      </c>
      <c r="I40" s="15">
        <f>IFERROR(__xludf.DUMMYFUNCTION("""COMPUTED_VALUE"""),0.0)</f>
        <v>0</v>
      </c>
      <c r="J40" s="15">
        <f>IFERROR(__xludf.DUMMYFUNCTION("""COMPUTED_VALUE"""),0.0)</f>
        <v>0</v>
      </c>
      <c r="K40" s="15">
        <f>IFERROR(__xludf.DUMMYFUNCTION("""COMPUTED_VALUE"""),0.0)</f>
        <v>0</v>
      </c>
      <c r="L40" s="14" t="b">
        <v>0</v>
      </c>
    </row>
    <row r="41">
      <c r="A41" s="14">
        <f>IFERROR(__xludf.DUMMYFUNCTION("""COMPUTED_VALUE"""),2.026504E7)</f>
        <v>20265040</v>
      </c>
      <c r="B41" s="14" t="str">
        <f>IFERROR(__xludf.DUMMYFUNCTION("""COMPUTED_VALUE"""),"Kathie Abke")</f>
        <v>Kathie Abke</v>
      </c>
      <c r="C41" s="14" t="b">
        <f>IFERROR(__xludf.DUMMYFUNCTION("""COMPUTED_VALUE"""),FALSE)</f>
        <v>0</v>
      </c>
      <c r="D41" s="21">
        <f>IFERROR(__xludf.DUMMYFUNCTION("""COMPUTED_VALUE"""),1.0)</f>
        <v>1</v>
      </c>
      <c r="E41" s="15">
        <f>IFERROR(__xludf.DUMMYFUNCTION("""COMPUTED_VALUE"""),1430.0)</f>
        <v>1430</v>
      </c>
      <c r="F41" s="15">
        <f>IFERROR(__xludf.DUMMYFUNCTION("""COMPUTED_VALUE"""),0.0)</f>
        <v>0</v>
      </c>
      <c r="G41" s="15">
        <f>IFERROR(__xludf.DUMMYFUNCTION("""COMPUTED_VALUE"""),1430.0)</f>
        <v>1430</v>
      </c>
      <c r="H41" s="15">
        <f>IFERROR(__xludf.DUMMYFUNCTION("""COMPUTED_VALUE"""),0.0)</f>
        <v>0</v>
      </c>
      <c r="I41" s="15">
        <f>IFERROR(__xludf.DUMMYFUNCTION("""COMPUTED_VALUE"""),14.3)</f>
        <v>14.3</v>
      </c>
      <c r="J41" s="15">
        <f>IFERROR(__xludf.DUMMYFUNCTION("""COMPUTED_VALUE"""),0.0)</f>
        <v>0</v>
      </c>
      <c r="K41" s="15">
        <f>IFERROR(__xludf.DUMMYFUNCTION("""COMPUTED_VALUE"""),0.0)</f>
        <v>0</v>
      </c>
      <c r="L41" s="14" t="b">
        <v>0</v>
      </c>
    </row>
    <row r="42">
      <c r="A42" s="24">
        <f>IFERROR(__xludf.DUMMYFUNCTION("""COMPUTED_VALUE"""),2.0265041E7)</f>
        <v>20265041</v>
      </c>
      <c r="B42" s="24" t="str">
        <f>IFERROR(__xludf.DUMMYFUNCTION("""COMPUTED_VALUE"""),"INS - Roben Hamilton")</f>
        <v>INS - Roben Hamilton</v>
      </c>
      <c r="C42" s="24" t="b">
        <f>IFERROR(__xludf.DUMMYFUNCTION("""COMPUTED_VALUE"""),FALSE)</f>
        <v>0</v>
      </c>
      <c r="D42" s="25">
        <f>IFERROR(__xludf.DUMMYFUNCTION("""COMPUTED_VALUE"""),1.0)</f>
        <v>1</v>
      </c>
      <c r="E42" s="26">
        <f>IFERROR(__xludf.DUMMYFUNCTION("""COMPUTED_VALUE"""),26541.18)</f>
        <v>26541.18</v>
      </c>
      <c r="F42" s="26">
        <f>IFERROR(__xludf.DUMMYFUNCTION("""COMPUTED_VALUE"""),0.0)</f>
        <v>0</v>
      </c>
      <c r="G42" s="26">
        <f>IFERROR(__xludf.DUMMYFUNCTION("""COMPUTED_VALUE"""),15427.44)</f>
        <v>15427.44</v>
      </c>
      <c r="H42" s="26">
        <f>IFERROR(__xludf.DUMMYFUNCTION("""COMPUTED_VALUE"""),15427.439999999999)</f>
        <v>15427.44</v>
      </c>
      <c r="I42" s="26">
        <f>IFERROR(__xludf.DUMMYFUNCTION("""COMPUTED_VALUE"""),265.4118)</f>
        <v>265.4118</v>
      </c>
      <c r="J42" s="26">
        <f>IFERROR(__xludf.DUMMYFUNCTION("""COMPUTED_VALUE"""),0.0)</f>
        <v>0</v>
      </c>
      <c r="K42" s="26">
        <f>IFERROR(__xludf.DUMMYFUNCTION("""COMPUTED_VALUE"""),154.27)</f>
        <v>154.27</v>
      </c>
      <c r="L42" s="24" t="b">
        <v>0</v>
      </c>
    </row>
    <row r="43">
      <c r="A43" s="14">
        <f>IFERROR(__xludf.DUMMYFUNCTION("""COMPUTED_VALUE"""),2.0265042E7)</f>
        <v>20265042</v>
      </c>
      <c r="B43" s="14" t="str">
        <f>IFERROR(__xludf.DUMMYFUNCTION("""COMPUTED_VALUE"""),"Steve And Margaret Callon")</f>
        <v>Steve And Margaret Callon</v>
      </c>
      <c r="C43" s="14" t="b">
        <f>IFERROR(__xludf.DUMMYFUNCTION("""COMPUTED_VALUE"""),FALSE)</f>
        <v>0</v>
      </c>
      <c r="D43" s="21" t="str">
        <f>IFERROR(__xludf.DUMMYFUNCTION("""COMPUTED_VALUE"""),"")</f>
        <v/>
      </c>
      <c r="E43" s="15">
        <f>IFERROR(__xludf.DUMMYFUNCTION("""COMPUTED_VALUE"""),5376.37)</f>
        <v>5376.37</v>
      </c>
      <c r="F43" s="15">
        <f>IFERROR(__xludf.DUMMYFUNCTION("""COMPUTED_VALUE"""),0.0)</f>
        <v>0</v>
      </c>
      <c r="G43" s="15">
        <f>IFERROR(__xludf.DUMMYFUNCTION("""COMPUTED_VALUE"""),0.0)</f>
        <v>0</v>
      </c>
      <c r="H43" s="15">
        <f>IFERROR(__xludf.DUMMYFUNCTION("""COMPUTED_VALUE"""),0.0)</f>
        <v>0</v>
      </c>
      <c r="I43" s="15">
        <f>IFERROR(__xludf.DUMMYFUNCTION("""COMPUTED_VALUE"""),53.7637)</f>
        <v>53.7637</v>
      </c>
      <c r="J43" s="15">
        <f>IFERROR(__xludf.DUMMYFUNCTION("""COMPUTED_VALUE"""),0.0)</f>
        <v>0</v>
      </c>
      <c r="K43" s="15">
        <f>IFERROR(__xludf.DUMMYFUNCTION("""COMPUTED_VALUE"""),0.0)</f>
        <v>0</v>
      </c>
      <c r="L43" s="14" t="b">
        <v>0</v>
      </c>
    </row>
    <row r="44">
      <c r="A44" s="14">
        <f>IFERROR(__xludf.DUMMYFUNCTION("""COMPUTED_VALUE"""),2.0265043E7)</f>
        <v>20265043</v>
      </c>
      <c r="B44" s="14" t="str">
        <f>IFERROR(__xludf.DUMMYFUNCTION("""COMPUTED_VALUE"""),"Russell Hawkins")</f>
        <v>Russell Hawkins</v>
      </c>
      <c r="C44" s="14" t="b">
        <f>IFERROR(__xludf.DUMMYFUNCTION("""COMPUTED_VALUE"""),FALSE)</f>
        <v>0</v>
      </c>
      <c r="D44" s="21" t="str">
        <f>IFERROR(__xludf.DUMMYFUNCTION("""COMPUTED_VALUE"""),"")</f>
        <v/>
      </c>
      <c r="E44" s="15">
        <f>IFERROR(__xludf.DUMMYFUNCTION("""COMPUTED_VALUE"""),896.38)</f>
        <v>896.38</v>
      </c>
      <c r="F44" s="15">
        <f>IFERROR(__xludf.DUMMYFUNCTION("""COMPUTED_VALUE"""),0.0)</f>
        <v>0</v>
      </c>
      <c r="G44" s="15">
        <f>IFERROR(__xludf.DUMMYFUNCTION("""COMPUTED_VALUE"""),0.0)</f>
        <v>0</v>
      </c>
      <c r="H44" s="15">
        <f>IFERROR(__xludf.DUMMYFUNCTION("""COMPUTED_VALUE"""),0.0)</f>
        <v>0</v>
      </c>
      <c r="I44" s="15">
        <f>IFERROR(__xludf.DUMMYFUNCTION("""COMPUTED_VALUE"""),8.9638)</f>
        <v>8.9638</v>
      </c>
      <c r="J44" s="15">
        <f>IFERROR(__xludf.DUMMYFUNCTION("""COMPUTED_VALUE"""),0.0)</f>
        <v>0</v>
      </c>
      <c r="K44" s="15">
        <f>IFERROR(__xludf.DUMMYFUNCTION("""COMPUTED_VALUE"""),0.0)</f>
        <v>0</v>
      </c>
      <c r="L44" s="14" t="b">
        <v>0</v>
      </c>
    </row>
    <row r="45">
      <c r="A45" s="14">
        <f>IFERROR(__xludf.DUMMYFUNCTION("""COMPUTED_VALUE"""),2.0265044E7)</f>
        <v>20265044</v>
      </c>
      <c r="B45" s="14" t="str">
        <f>IFERROR(__xludf.DUMMYFUNCTION("""COMPUTED_VALUE"""),"INS - Vicki Jones")</f>
        <v>INS - Vicki Jones</v>
      </c>
      <c r="C45" s="14" t="b">
        <f>IFERROR(__xludf.DUMMYFUNCTION("""COMPUTED_VALUE"""),FALSE)</f>
        <v>0</v>
      </c>
      <c r="D45" s="21" t="str">
        <f>IFERROR(__xludf.DUMMYFUNCTION("""COMPUTED_VALUE"""),"")</f>
        <v/>
      </c>
      <c r="E45" s="15">
        <f>IFERROR(__xludf.DUMMYFUNCTION("""COMPUTED_VALUE"""),0.0)</f>
        <v>0</v>
      </c>
      <c r="F45" s="15">
        <f>IFERROR(__xludf.DUMMYFUNCTION("""COMPUTED_VALUE"""),0.0)</f>
        <v>0</v>
      </c>
      <c r="G45" s="15">
        <f>IFERROR(__xludf.DUMMYFUNCTION("""COMPUTED_VALUE"""),0.0)</f>
        <v>0</v>
      </c>
      <c r="H45" s="15">
        <f>IFERROR(__xludf.DUMMYFUNCTION("""COMPUTED_VALUE"""),0.0)</f>
        <v>0</v>
      </c>
      <c r="I45" s="15">
        <f>IFERROR(__xludf.DUMMYFUNCTION("""COMPUTED_VALUE"""),0.0)</f>
        <v>0</v>
      </c>
      <c r="J45" s="15">
        <f>IFERROR(__xludf.DUMMYFUNCTION("""COMPUTED_VALUE"""),0.0)</f>
        <v>0</v>
      </c>
      <c r="K45" s="15">
        <f>IFERROR(__xludf.DUMMYFUNCTION("""COMPUTED_VALUE"""),0.0)</f>
        <v>0</v>
      </c>
      <c r="L45" s="14" t="b">
        <v>0</v>
      </c>
    </row>
    <row r="46">
      <c r="A46" s="14">
        <f>IFERROR(__xludf.DUMMYFUNCTION("""COMPUTED_VALUE"""),2.0265045E7)</f>
        <v>20265045</v>
      </c>
      <c r="B46" s="14" t="str">
        <f>IFERROR(__xludf.DUMMYFUNCTION("""COMPUTED_VALUE"""),"Nate  Beaman")</f>
        <v>Nate  Beaman</v>
      </c>
      <c r="C46" s="14" t="b">
        <f>IFERROR(__xludf.DUMMYFUNCTION("""COMPUTED_VALUE"""),FALSE)</f>
        <v>0</v>
      </c>
      <c r="D46" s="21" t="str">
        <f>IFERROR(__xludf.DUMMYFUNCTION("""COMPUTED_VALUE"""),"")</f>
        <v/>
      </c>
      <c r="E46" s="15">
        <f>IFERROR(__xludf.DUMMYFUNCTION("""COMPUTED_VALUE"""),0.0)</f>
        <v>0</v>
      </c>
      <c r="F46" s="15">
        <f>IFERROR(__xludf.DUMMYFUNCTION("""COMPUTED_VALUE"""),0.0)</f>
        <v>0</v>
      </c>
      <c r="G46" s="15">
        <f>IFERROR(__xludf.DUMMYFUNCTION("""COMPUTED_VALUE"""),0.0)</f>
        <v>0</v>
      </c>
      <c r="H46" s="15">
        <f>IFERROR(__xludf.DUMMYFUNCTION("""COMPUTED_VALUE"""),0.0)</f>
        <v>0</v>
      </c>
      <c r="I46" s="15">
        <f>IFERROR(__xludf.DUMMYFUNCTION("""COMPUTED_VALUE"""),0.0)</f>
        <v>0</v>
      </c>
      <c r="J46" s="15">
        <f>IFERROR(__xludf.DUMMYFUNCTION("""COMPUTED_VALUE"""),0.0)</f>
        <v>0</v>
      </c>
      <c r="K46" s="15">
        <f>IFERROR(__xludf.DUMMYFUNCTION("""COMPUTED_VALUE"""),0.0)</f>
        <v>0</v>
      </c>
      <c r="L46" s="14" t="b">
        <v>0</v>
      </c>
    </row>
    <row r="47">
      <c r="A47" s="24">
        <f>IFERROR(__xludf.DUMMYFUNCTION("""COMPUTED_VALUE"""),2.0265046E7)</f>
        <v>20265046</v>
      </c>
      <c r="B47" s="24" t="str">
        <f>IFERROR(__xludf.DUMMYFUNCTION("""COMPUTED_VALUE"""),"INS - Dennis Fine")</f>
        <v>INS - Dennis Fine</v>
      </c>
      <c r="C47" s="24" t="b">
        <f>IFERROR(__xludf.DUMMYFUNCTION("""COMPUTED_VALUE"""),FALSE)</f>
        <v>0</v>
      </c>
      <c r="D47" s="25">
        <f>IFERROR(__xludf.DUMMYFUNCTION("""COMPUTED_VALUE"""),1.0)</f>
        <v>1</v>
      </c>
      <c r="E47" s="26">
        <f>IFERROR(__xludf.DUMMYFUNCTION("""COMPUTED_VALUE"""),21350.56)</f>
        <v>21350.56</v>
      </c>
      <c r="F47" s="26">
        <f>IFERROR(__xludf.DUMMYFUNCTION("""COMPUTED_VALUE"""),0.0)</f>
        <v>0</v>
      </c>
      <c r="G47" s="26">
        <f>IFERROR(__xludf.DUMMYFUNCTION("""COMPUTED_VALUE"""),18011.86)</f>
        <v>18011.86</v>
      </c>
      <c r="H47" s="26">
        <f>IFERROR(__xludf.DUMMYFUNCTION("""COMPUTED_VALUE"""),13258.9)</f>
        <v>13258.9</v>
      </c>
      <c r="I47" s="26">
        <f>IFERROR(__xludf.DUMMYFUNCTION("""COMPUTED_VALUE"""),213.50560000000002)</f>
        <v>213.5056</v>
      </c>
      <c r="J47" s="26">
        <f>IFERROR(__xludf.DUMMYFUNCTION("""COMPUTED_VALUE"""),0.0)</f>
        <v>0</v>
      </c>
      <c r="K47" s="26">
        <f>IFERROR(__xludf.DUMMYFUNCTION("""COMPUTED_VALUE"""),132.59)</f>
        <v>132.59</v>
      </c>
      <c r="L47" s="24" t="b">
        <v>0</v>
      </c>
    </row>
    <row r="48">
      <c r="A48" s="14">
        <f>IFERROR(__xludf.DUMMYFUNCTION("""COMPUTED_VALUE"""),2.0265047E7)</f>
        <v>20265047</v>
      </c>
      <c r="B48" s="14" t="str">
        <f>IFERROR(__xludf.DUMMYFUNCTION("""COMPUTED_VALUE"""),"INS - Mike Wallace")</f>
        <v>INS - Mike Wallace</v>
      </c>
      <c r="C48" s="14" t="b">
        <f>IFERROR(__xludf.DUMMYFUNCTION("""COMPUTED_VALUE"""),FALSE)</f>
        <v>0</v>
      </c>
      <c r="D48" s="21" t="str">
        <f>IFERROR(__xludf.DUMMYFUNCTION("""COMPUTED_VALUE"""),"")</f>
        <v/>
      </c>
      <c r="E48" s="15">
        <f>IFERROR(__xludf.DUMMYFUNCTION("""COMPUTED_VALUE"""),17330.84)</f>
        <v>17330.84</v>
      </c>
      <c r="F48" s="15">
        <f>IFERROR(__xludf.DUMMYFUNCTION("""COMPUTED_VALUE"""),0.0)</f>
        <v>0</v>
      </c>
      <c r="G48" s="15">
        <f>IFERROR(__xludf.DUMMYFUNCTION("""COMPUTED_VALUE"""),0.0)</f>
        <v>0</v>
      </c>
      <c r="H48" s="15">
        <f>IFERROR(__xludf.DUMMYFUNCTION("""COMPUTED_VALUE"""),0.0)</f>
        <v>0</v>
      </c>
      <c r="I48" s="15">
        <f>IFERROR(__xludf.DUMMYFUNCTION("""COMPUTED_VALUE"""),173.3084)</f>
        <v>173.3084</v>
      </c>
      <c r="J48" s="15">
        <f>IFERROR(__xludf.DUMMYFUNCTION("""COMPUTED_VALUE"""),0.0)</f>
        <v>0</v>
      </c>
      <c r="K48" s="15">
        <f>IFERROR(__xludf.DUMMYFUNCTION("""COMPUTED_VALUE"""),0.0)</f>
        <v>0</v>
      </c>
      <c r="L48" s="14" t="b">
        <v>0</v>
      </c>
    </row>
    <row r="49">
      <c r="A49" s="14">
        <f>IFERROR(__xludf.DUMMYFUNCTION("""COMPUTED_VALUE"""),2.0265048E7)</f>
        <v>20265048</v>
      </c>
      <c r="B49" s="14" t="str">
        <f>IFERROR(__xludf.DUMMYFUNCTION("""COMPUTED_VALUE"""),"INS - Dan Koval")</f>
        <v>INS - Dan Koval</v>
      </c>
      <c r="C49" s="14" t="b">
        <f>IFERROR(__xludf.DUMMYFUNCTION("""COMPUTED_VALUE"""),FALSE)</f>
        <v>0</v>
      </c>
      <c r="D49" s="21" t="str">
        <f>IFERROR(__xludf.DUMMYFUNCTION("""COMPUTED_VALUE"""),"")</f>
        <v/>
      </c>
      <c r="E49" s="15">
        <f>IFERROR(__xludf.DUMMYFUNCTION("""COMPUTED_VALUE"""),17202.16)</f>
        <v>17202.16</v>
      </c>
      <c r="F49" s="15">
        <f>IFERROR(__xludf.DUMMYFUNCTION("""COMPUTED_VALUE"""),0.0)</f>
        <v>0</v>
      </c>
      <c r="G49" s="15">
        <f>IFERROR(__xludf.DUMMYFUNCTION("""COMPUTED_VALUE"""),0.0)</f>
        <v>0</v>
      </c>
      <c r="H49" s="15">
        <f>IFERROR(__xludf.DUMMYFUNCTION("""COMPUTED_VALUE"""),0.0)</f>
        <v>0</v>
      </c>
      <c r="I49" s="15">
        <f>IFERROR(__xludf.DUMMYFUNCTION("""COMPUTED_VALUE"""),172.0216)</f>
        <v>172.0216</v>
      </c>
      <c r="J49" s="15">
        <f>IFERROR(__xludf.DUMMYFUNCTION("""COMPUTED_VALUE"""),0.0)</f>
        <v>0</v>
      </c>
      <c r="K49" s="15">
        <f>IFERROR(__xludf.DUMMYFUNCTION("""COMPUTED_VALUE"""),0.0)</f>
        <v>0</v>
      </c>
      <c r="L49" s="14" t="b">
        <v>0</v>
      </c>
    </row>
    <row r="50">
      <c r="A50" s="14">
        <f>IFERROR(__xludf.DUMMYFUNCTION("""COMPUTED_VALUE"""),2.0265049E7)</f>
        <v>20265049</v>
      </c>
      <c r="B50" s="14" t="str">
        <f>IFERROR(__xludf.DUMMYFUNCTION("""COMPUTED_VALUE"""),"INS - Shavon Puckett")</f>
        <v>INS - Shavon Puckett</v>
      </c>
      <c r="C50" s="14" t="b">
        <f>IFERROR(__xludf.DUMMYFUNCTION("""COMPUTED_VALUE"""),FALSE)</f>
        <v>0</v>
      </c>
      <c r="D50" s="21" t="str">
        <f>IFERROR(__xludf.DUMMYFUNCTION("""COMPUTED_VALUE"""),"")</f>
        <v/>
      </c>
      <c r="E50" s="15">
        <f>IFERROR(__xludf.DUMMYFUNCTION("""COMPUTED_VALUE"""),0.0)</f>
        <v>0</v>
      </c>
      <c r="F50" s="15">
        <f>IFERROR(__xludf.DUMMYFUNCTION("""COMPUTED_VALUE"""),0.0)</f>
        <v>0</v>
      </c>
      <c r="G50" s="15">
        <f>IFERROR(__xludf.DUMMYFUNCTION("""COMPUTED_VALUE"""),0.0)</f>
        <v>0</v>
      </c>
      <c r="H50" s="15">
        <f>IFERROR(__xludf.DUMMYFUNCTION("""COMPUTED_VALUE"""),0.0)</f>
        <v>0</v>
      </c>
      <c r="I50" s="15">
        <f>IFERROR(__xludf.DUMMYFUNCTION("""COMPUTED_VALUE"""),0.0)</f>
        <v>0</v>
      </c>
      <c r="J50" s="15">
        <f>IFERROR(__xludf.DUMMYFUNCTION("""COMPUTED_VALUE"""),0.0)</f>
        <v>0</v>
      </c>
      <c r="K50" s="15">
        <f>IFERROR(__xludf.DUMMYFUNCTION("""COMPUTED_VALUE"""),0.0)</f>
        <v>0</v>
      </c>
      <c r="L50" s="14" t="b">
        <v>0</v>
      </c>
    </row>
    <row r="51">
      <c r="A51" s="14">
        <f>IFERROR(__xludf.DUMMYFUNCTION("""COMPUTED_VALUE"""),2.026505E7)</f>
        <v>20265050</v>
      </c>
      <c r="B51" s="14" t="str">
        <f>IFERROR(__xludf.DUMMYFUNCTION("""COMPUTED_VALUE"""),"Nick Robinson")</f>
        <v>Nick Robinson</v>
      </c>
      <c r="C51" s="14" t="b">
        <f>IFERROR(__xludf.DUMMYFUNCTION("""COMPUTED_VALUE"""),FALSE)</f>
        <v>0</v>
      </c>
      <c r="D51" s="21" t="str">
        <f>IFERROR(__xludf.DUMMYFUNCTION("""COMPUTED_VALUE"""),"")</f>
        <v/>
      </c>
      <c r="E51" s="15">
        <f>IFERROR(__xludf.DUMMYFUNCTION("""COMPUTED_VALUE"""),0.0)</f>
        <v>0</v>
      </c>
      <c r="F51" s="15">
        <f>IFERROR(__xludf.DUMMYFUNCTION("""COMPUTED_VALUE"""),0.0)</f>
        <v>0</v>
      </c>
      <c r="G51" s="15">
        <f>IFERROR(__xludf.DUMMYFUNCTION("""COMPUTED_VALUE"""),0.0)</f>
        <v>0</v>
      </c>
      <c r="H51" s="15">
        <f>IFERROR(__xludf.DUMMYFUNCTION("""COMPUTED_VALUE"""),0.0)</f>
        <v>0</v>
      </c>
      <c r="I51" s="15">
        <f>IFERROR(__xludf.DUMMYFUNCTION("""COMPUTED_VALUE"""),0.0)</f>
        <v>0</v>
      </c>
      <c r="J51" s="15">
        <f>IFERROR(__xludf.DUMMYFUNCTION("""COMPUTED_VALUE"""),0.0)</f>
        <v>0</v>
      </c>
      <c r="K51" s="15">
        <f>IFERROR(__xludf.DUMMYFUNCTION("""COMPUTED_VALUE"""),0.0)</f>
        <v>0</v>
      </c>
      <c r="L51" s="14" t="b">
        <v>0</v>
      </c>
    </row>
    <row r="52">
      <c r="A52" s="14">
        <f>IFERROR(__xludf.DUMMYFUNCTION("""COMPUTED_VALUE"""),2.0265051E7)</f>
        <v>20265051</v>
      </c>
      <c r="B52" s="14" t="str">
        <f>IFERROR(__xludf.DUMMYFUNCTION("""COMPUTED_VALUE"""),"INS - Margaret Vancauwenbergh")</f>
        <v>INS - Margaret Vancauwenbergh</v>
      </c>
      <c r="C52" s="14" t="b">
        <f>IFERROR(__xludf.DUMMYFUNCTION("""COMPUTED_VALUE"""),FALSE)</f>
        <v>0</v>
      </c>
      <c r="D52" s="21" t="str">
        <f>IFERROR(__xludf.DUMMYFUNCTION("""COMPUTED_VALUE"""),"")</f>
        <v/>
      </c>
      <c r="E52" s="15">
        <f>IFERROR(__xludf.DUMMYFUNCTION("""COMPUTED_VALUE"""),0.0)</f>
        <v>0</v>
      </c>
      <c r="F52" s="15">
        <f>IFERROR(__xludf.DUMMYFUNCTION("""COMPUTED_VALUE"""),0.0)</f>
        <v>0</v>
      </c>
      <c r="G52" s="15">
        <f>IFERROR(__xludf.DUMMYFUNCTION("""COMPUTED_VALUE"""),0.0)</f>
        <v>0</v>
      </c>
      <c r="H52" s="15">
        <f>IFERROR(__xludf.DUMMYFUNCTION("""COMPUTED_VALUE"""),0.0)</f>
        <v>0</v>
      </c>
      <c r="I52" s="15">
        <f>IFERROR(__xludf.DUMMYFUNCTION("""COMPUTED_VALUE"""),0.0)</f>
        <v>0</v>
      </c>
      <c r="J52" s="15">
        <f>IFERROR(__xludf.DUMMYFUNCTION("""COMPUTED_VALUE"""),0.0)</f>
        <v>0</v>
      </c>
      <c r="K52" s="15">
        <f>IFERROR(__xludf.DUMMYFUNCTION("""COMPUTED_VALUE"""),0.0)</f>
        <v>0</v>
      </c>
      <c r="L52" s="14" t="b">
        <v>0</v>
      </c>
    </row>
    <row r="53">
      <c r="A53" s="14">
        <f>IFERROR(__xludf.DUMMYFUNCTION("""COMPUTED_VALUE"""),2.0265052E7)</f>
        <v>20265052</v>
      </c>
      <c r="B53" s="14" t="str">
        <f>IFERROR(__xludf.DUMMYFUNCTION("""COMPUTED_VALUE"""),"Braden Fisher")</f>
        <v>Braden Fisher</v>
      </c>
      <c r="C53" s="14" t="b">
        <f>IFERROR(__xludf.DUMMYFUNCTION("""COMPUTED_VALUE"""),FALSE)</f>
        <v>0</v>
      </c>
      <c r="D53" s="21" t="str">
        <f>IFERROR(__xludf.DUMMYFUNCTION("""COMPUTED_VALUE"""),"")</f>
        <v/>
      </c>
      <c r="E53" s="15">
        <f>IFERROR(__xludf.DUMMYFUNCTION("""COMPUTED_VALUE"""),16132.31)</f>
        <v>16132.31</v>
      </c>
      <c r="F53" s="15">
        <f>IFERROR(__xludf.DUMMYFUNCTION("""COMPUTED_VALUE"""),0.0)</f>
        <v>0</v>
      </c>
      <c r="G53" s="15">
        <f>IFERROR(__xludf.DUMMYFUNCTION("""COMPUTED_VALUE"""),0.0)</f>
        <v>0</v>
      </c>
      <c r="H53" s="15">
        <f>IFERROR(__xludf.DUMMYFUNCTION("""COMPUTED_VALUE"""),0.0)</f>
        <v>0</v>
      </c>
      <c r="I53" s="15">
        <f>IFERROR(__xludf.DUMMYFUNCTION("""COMPUTED_VALUE"""),161.3231)</f>
        <v>161.3231</v>
      </c>
      <c r="J53" s="15">
        <f>IFERROR(__xludf.DUMMYFUNCTION("""COMPUTED_VALUE"""),0.0)</f>
        <v>0</v>
      </c>
      <c r="K53" s="15">
        <f>IFERROR(__xludf.DUMMYFUNCTION("""COMPUTED_VALUE"""),0.0)</f>
        <v>0</v>
      </c>
      <c r="L53" s="14" t="b">
        <v>0</v>
      </c>
    </row>
    <row r="54">
      <c r="A54" s="14">
        <f>IFERROR(__xludf.DUMMYFUNCTION("""COMPUTED_VALUE"""),2.0265053E7)</f>
        <v>20265053</v>
      </c>
      <c r="B54" s="14" t="str">
        <f>IFERROR(__xludf.DUMMYFUNCTION("""COMPUTED_VALUE"""),"INS - Doug Sears")</f>
        <v>INS - Doug Sears</v>
      </c>
      <c r="C54" s="14" t="b">
        <f>IFERROR(__xludf.DUMMYFUNCTION("""COMPUTED_VALUE"""),FALSE)</f>
        <v>0</v>
      </c>
      <c r="D54" s="21" t="str">
        <f>IFERROR(__xludf.DUMMYFUNCTION("""COMPUTED_VALUE"""),"")</f>
        <v/>
      </c>
      <c r="E54" s="15">
        <f>IFERROR(__xludf.DUMMYFUNCTION("""COMPUTED_VALUE"""),0.0)</f>
        <v>0</v>
      </c>
      <c r="F54" s="15">
        <f>IFERROR(__xludf.DUMMYFUNCTION("""COMPUTED_VALUE"""),0.0)</f>
        <v>0</v>
      </c>
      <c r="G54" s="15">
        <f>IFERROR(__xludf.DUMMYFUNCTION("""COMPUTED_VALUE"""),0.0)</f>
        <v>0</v>
      </c>
      <c r="H54" s="15">
        <f>IFERROR(__xludf.DUMMYFUNCTION("""COMPUTED_VALUE"""),0.0)</f>
        <v>0</v>
      </c>
      <c r="I54" s="15">
        <f>IFERROR(__xludf.DUMMYFUNCTION("""COMPUTED_VALUE"""),0.0)</f>
        <v>0</v>
      </c>
      <c r="J54" s="15">
        <f>IFERROR(__xludf.DUMMYFUNCTION("""COMPUTED_VALUE"""),0.0)</f>
        <v>0</v>
      </c>
      <c r="K54" s="15">
        <f>IFERROR(__xludf.DUMMYFUNCTION("""COMPUTED_VALUE"""),0.0)</f>
        <v>0</v>
      </c>
      <c r="L54" s="14" t="b">
        <v>0</v>
      </c>
    </row>
    <row r="55">
      <c r="A55" s="14">
        <f>IFERROR(__xludf.DUMMYFUNCTION("""COMPUTED_VALUE"""),2.0265054E7)</f>
        <v>20265054</v>
      </c>
      <c r="B55" s="14" t="str">
        <f>IFERROR(__xludf.DUMMYFUNCTION("""COMPUTED_VALUE"""),"Paulette Schields")</f>
        <v>Paulette Schields</v>
      </c>
      <c r="C55" s="14" t="b">
        <f>IFERROR(__xludf.DUMMYFUNCTION("""COMPUTED_VALUE"""),FALSE)</f>
        <v>0</v>
      </c>
      <c r="D55" s="21" t="str">
        <f>IFERROR(__xludf.DUMMYFUNCTION("""COMPUTED_VALUE"""),"")</f>
        <v/>
      </c>
      <c r="E55" s="15">
        <f>IFERROR(__xludf.DUMMYFUNCTION("""COMPUTED_VALUE"""),0.0)</f>
        <v>0</v>
      </c>
      <c r="F55" s="15">
        <f>IFERROR(__xludf.DUMMYFUNCTION("""COMPUTED_VALUE"""),0.0)</f>
        <v>0</v>
      </c>
      <c r="G55" s="15">
        <f>IFERROR(__xludf.DUMMYFUNCTION("""COMPUTED_VALUE"""),0.0)</f>
        <v>0</v>
      </c>
      <c r="H55" s="15">
        <f>IFERROR(__xludf.DUMMYFUNCTION("""COMPUTED_VALUE"""),0.0)</f>
        <v>0</v>
      </c>
      <c r="I55" s="15">
        <f>IFERROR(__xludf.DUMMYFUNCTION("""COMPUTED_VALUE"""),0.0)</f>
        <v>0</v>
      </c>
      <c r="J55" s="15">
        <f>IFERROR(__xludf.DUMMYFUNCTION("""COMPUTED_VALUE"""),0.0)</f>
        <v>0</v>
      </c>
      <c r="K55" s="15">
        <f>IFERROR(__xludf.DUMMYFUNCTION("""COMPUTED_VALUE"""),0.0)</f>
        <v>0</v>
      </c>
      <c r="L55" s="14" t="b">
        <v>0</v>
      </c>
    </row>
    <row r="56">
      <c r="A56" s="14">
        <f>IFERROR(__xludf.DUMMYFUNCTION("""COMPUTED_VALUE"""),2.0265055E7)</f>
        <v>20265055</v>
      </c>
      <c r="B56" s="14" t="str">
        <f>IFERROR(__xludf.DUMMYFUNCTION("""COMPUTED_VALUE"""),"INS - Joe Kendal")</f>
        <v>INS - Joe Kendal</v>
      </c>
      <c r="C56" s="14" t="b">
        <f>IFERROR(__xludf.DUMMYFUNCTION("""COMPUTED_VALUE"""),FALSE)</f>
        <v>0</v>
      </c>
      <c r="D56" s="21" t="str">
        <f>IFERROR(__xludf.DUMMYFUNCTION("""COMPUTED_VALUE"""),"")</f>
        <v/>
      </c>
      <c r="E56" s="15">
        <f>IFERROR(__xludf.DUMMYFUNCTION("""COMPUTED_VALUE"""),0.0)</f>
        <v>0</v>
      </c>
      <c r="F56" s="15">
        <f>IFERROR(__xludf.DUMMYFUNCTION("""COMPUTED_VALUE"""),0.0)</f>
        <v>0</v>
      </c>
      <c r="G56" s="15">
        <f>IFERROR(__xludf.DUMMYFUNCTION("""COMPUTED_VALUE"""),0.0)</f>
        <v>0</v>
      </c>
      <c r="H56" s="15">
        <f>IFERROR(__xludf.DUMMYFUNCTION("""COMPUTED_VALUE"""),0.0)</f>
        <v>0</v>
      </c>
      <c r="I56" s="15">
        <f>IFERROR(__xludf.DUMMYFUNCTION("""COMPUTED_VALUE"""),0.0)</f>
        <v>0</v>
      </c>
      <c r="J56" s="15">
        <f>IFERROR(__xludf.DUMMYFUNCTION("""COMPUTED_VALUE"""),0.0)</f>
        <v>0</v>
      </c>
      <c r="K56" s="15">
        <f>IFERROR(__xludf.DUMMYFUNCTION("""COMPUTED_VALUE"""),0.0)</f>
        <v>0</v>
      </c>
      <c r="L56" s="14" t="b">
        <v>0</v>
      </c>
    </row>
    <row r="57">
      <c r="A57" s="14">
        <f>IFERROR(__xludf.DUMMYFUNCTION("""COMPUTED_VALUE"""),2.0265056E7)</f>
        <v>20265056</v>
      </c>
      <c r="B57" s="14" t="str">
        <f>IFERROR(__xludf.DUMMYFUNCTION("""COMPUTED_VALUE"""),"INS - Mike Hild Rental")</f>
        <v>INS - Mike Hild Rental</v>
      </c>
      <c r="C57" s="14" t="b">
        <f>IFERROR(__xludf.DUMMYFUNCTION("""COMPUTED_VALUE"""),FALSE)</f>
        <v>0</v>
      </c>
      <c r="D57" s="21" t="str">
        <f>IFERROR(__xludf.DUMMYFUNCTION("""COMPUTED_VALUE"""),"")</f>
        <v/>
      </c>
      <c r="E57" s="15">
        <f>IFERROR(__xludf.DUMMYFUNCTION("""COMPUTED_VALUE"""),1321.13)</f>
        <v>1321.13</v>
      </c>
      <c r="F57" s="15">
        <f>IFERROR(__xludf.DUMMYFUNCTION("""COMPUTED_VALUE"""),0.0)</f>
        <v>0</v>
      </c>
      <c r="G57" s="15">
        <f>IFERROR(__xludf.DUMMYFUNCTION("""COMPUTED_VALUE"""),0.0)</f>
        <v>0</v>
      </c>
      <c r="H57" s="15">
        <f>IFERROR(__xludf.DUMMYFUNCTION("""COMPUTED_VALUE"""),0.0)</f>
        <v>0</v>
      </c>
      <c r="I57" s="15">
        <f>IFERROR(__xludf.DUMMYFUNCTION("""COMPUTED_VALUE"""),13.211300000000001)</f>
        <v>13.2113</v>
      </c>
      <c r="J57" s="15">
        <f>IFERROR(__xludf.DUMMYFUNCTION("""COMPUTED_VALUE"""),0.0)</f>
        <v>0</v>
      </c>
      <c r="K57" s="15">
        <f>IFERROR(__xludf.DUMMYFUNCTION("""COMPUTED_VALUE"""),0.0)</f>
        <v>0</v>
      </c>
      <c r="L57" s="14" t="b">
        <v>0</v>
      </c>
    </row>
    <row r="58">
      <c r="A58" s="14">
        <f>IFERROR(__xludf.DUMMYFUNCTION("""COMPUTED_VALUE"""),2.0265057E7)</f>
        <v>20265057</v>
      </c>
      <c r="B58" s="14" t="str">
        <f>IFERROR(__xludf.DUMMYFUNCTION("""COMPUTED_VALUE"""),"INS - Keith Thomas")</f>
        <v>INS - Keith Thomas</v>
      </c>
      <c r="C58" s="14" t="b">
        <f>IFERROR(__xludf.DUMMYFUNCTION("""COMPUTED_VALUE"""),FALSE)</f>
        <v>0</v>
      </c>
      <c r="D58" s="21" t="str">
        <f>IFERROR(__xludf.DUMMYFUNCTION("""COMPUTED_VALUE"""),"")</f>
        <v/>
      </c>
      <c r="E58" s="15">
        <f>IFERROR(__xludf.DUMMYFUNCTION("""COMPUTED_VALUE"""),24164.98)</f>
        <v>24164.98</v>
      </c>
      <c r="F58" s="15">
        <f>IFERROR(__xludf.DUMMYFUNCTION("""COMPUTED_VALUE"""),0.0)</f>
        <v>0</v>
      </c>
      <c r="G58" s="15">
        <f>IFERROR(__xludf.DUMMYFUNCTION("""COMPUTED_VALUE"""),0.0)</f>
        <v>0</v>
      </c>
      <c r="H58" s="15">
        <f>IFERROR(__xludf.DUMMYFUNCTION("""COMPUTED_VALUE"""),0.0)</f>
        <v>0</v>
      </c>
      <c r="I58" s="15">
        <f>IFERROR(__xludf.DUMMYFUNCTION("""COMPUTED_VALUE"""),241.6498)</f>
        <v>241.6498</v>
      </c>
      <c r="J58" s="15">
        <f>IFERROR(__xludf.DUMMYFUNCTION("""COMPUTED_VALUE"""),0.0)</f>
        <v>0</v>
      </c>
      <c r="K58" s="15">
        <f>IFERROR(__xludf.DUMMYFUNCTION("""COMPUTED_VALUE"""),0.0)</f>
        <v>0</v>
      </c>
      <c r="L58" s="14" t="b">
        <v>0</v>
      </c>
    </row>
    <row r="59">
      <c r="A59" s="14">
        <f>IFERROR(__xludf.DUMMYFUNCTION("""COMPUTED_VALUE"""),2.0265058E7)</f>
        <v>20265058</v>
      </c>
      <c r="B59" s="14" t="str">
        <f>IFERROR(__xludf.DUMMYFUNCTION("""COMPUTED_VALUE"""),"INS - Mohammed Hussain")</f>
        <v>INS - Mohammed Hussain</v>
      </c>
      <c r="C59" s="14" t="b">
        <f>IFERROR(__xludf.DUMMYFUNCTION("""COMPUTED_VALUE"""),FALSE)</f>
        <v>0</v>
      </c>
      <c r="D59" s="21" t="str">
        <f>IFERROR(__xludf.DUMMYFUNCTION("""COMPUTED_VALUE"""),"")</f>
        <v/>
      </c>
      <c r="E59" s="15">
        <f>IFERROR(__xludf.DUMMYFUNCTION("""COMPUTED_VALUE"""),29397.84)</f>
        <v>29397.84</v>
      </c>
      <c r="F59" s="15">
        <f>IFERROR(__xludf.DUMMYFUNCTION("""COMPUTED_VALUE"""),0.0)</f>
        <v>0</v>
      </c>
      <c r="G59" s="15">
        <f>IFERROR(__xludf.DUMMYFUNCTION("""COMPUTED_VALUE"""),0.0)</f>
        <v>0</v>
      </c>
      <c r="H59" s="15">
        <f>IFERROR(__xludf.DUMMYFUNCTION("""COMPUTED_VALUE"""),0.0)</f>
        <v>0</v>
      </c>
      <c r="I59" s="15">
        <f>IFERROR(__xludf.DUMMYFUNCTION("""COMPUTED_VALUE"""),293.9784)</f>
        <v>293.9784</v>
      </c>
      <c r="J59" s="15">
        <f>IFERROR(__xludf.DUMMYFUNCTION("""COMPUTED_VALUE"""),0.0)</f>
        <v>0</v>
      </c>
      <c r="K59" s="15">
        <f>IFERROR(__xludf.DUMMYFUNCTION("""COMPUTED_VALUE"""),0.0)</f>
        <v>0</v>
      </c>
      <c r="L59" s="14" t="b">
        <v>0</v>
      </c>
    </row>
    <row r="60">
      <c r="A60" s="14">
        <f>IFERROR(__xludf.DUMMYFUNCTION("""COMPUTED_VALUE"""),2.0265059E7)</f>
        <v>20265059</v>
      </c>
      <c r="B60" s="14" t="str">
        <f>IFERROR(__xludf.DUMMYFUNCTION("""COMPUTED_VALUE"""),"INS - Matt Snider")</f>
        <v>INS - Matt Snider</v>
      </c>
      <c r="C60" s="14" t="b">
        <f>IFERROR(__xludf.DUMMYFUNCTION("""COMPUTED_VALUE"""),FALSE)</f>
        <v>0</v>
      </c>
      <c r="D60" s="21" t="str">
        <f>IFERROR(__xludf.DUMMYFUNCTION("""COMPUTED_VALUE"""),"")</f>
        <v/>
      </c>
      <c r="E60" s="15">
        <f>IFERROR(__xludf.DUMMYFUNCTION("""COMPUTED_VALUE"""),0.0)</f>
        <v>0</v>
      </c>
      <c r="F60" s="15">
        <f>IFERROR(__xludf.DUMMYFUNCTION("""COMPUTED_VALUE"""),0.0)</f>
        <v>0</v>
      </c>
      <c r="G60" s="15">
        <f>IFERROR(__xludf.DUMMYFUNCTION("""COMPUTED_VALUE"""),0.0)</f>
        <v>0</v>
      </c>
      <c r="H60" s="15">
        <f>IFERROR(__xludf.DUMMYFUNCTION("""COMPUTED_VALUE"""),0.0)</f>
        <v>0</v>
      </c>
      <c r="I60" s="15">
        <f>IFERROR(__xludf.DUMMYFUNCTION("""COMPUTED_VALUE"""),0.0)</f>
        <v>0</v>
      </c>
      <c r="J60" s="15">
        <f>IFERROR(__xludf.DUMMYFUNCTION("""COMPUTED_VALUE"""),0.0)</f>
        <v>0</v>
      </c>
      <c r="K60" s="15">
        <f>IFERROR(__xludf.DUMMYFUNCTION("""COMPUTED_VALUE"""),0.0)</f>
        <v>0</v>
      </c>
      <c r="L60" s="14" t="b">
        <v>0</v>
      </c>
    </row>
    <row r="61">
      <c r="A61" s="14">
        <f>IFERROR(__xludf.DUMMYFUNCTION("""COMPUTED_VALUE"""),2.026506E7)</f>
        <v>20265060</v>
      </c>
      <c r="B61" s="14" t="str">
        <f>IFERROR(__xludf.DUMMYFUNCTION("""COMPUTED_VALUE"""),"INS - Randy Hawkins")</f>
        <v>INS - Randy Hawkins</v>
      </c>
      <c r="C61" s="14" t="b">
        <f>IFERROR(__xludf.DUMMYFUNCTION("""COMPUTED_VALUE"""),FALSE)</f>
        <v>0</v>
      </c>
      <c r="D61" s="21" t="str">
        <f>IFERROR(__xludf.DUMMYFUNCTION("""COMPUTED_VALUE"""),"")</f>
        <v/>
      </c>
      <c r="E61" s="15">
        <f>IFERROR(__xludf.DUMMYFUNCTION("""COMPUTED_VALUE"""),0.0)</f>
        <v>0</v>
      </c>
      <c r="F61" s="15">
        <f>IFERROR(__xludf.DUMMYFUNCTION("""COMPUTED_VALUE"""),0.0)</f>
        <v>0</v>
      </c>
      <c r="G61" s="15">
        <f>IFERROR(__xludf.DUMMYFUNCTION("""COMPUTED_VALUE"""),0.0)</f>
        <v>0</v>
      </c>
      <c r="H61" s="15">
        <f>IFERROR(__xludf.DUMMYFUNCTION("""COMPUTED_VALUE"""),0.0)</f>
        <v>0</v>
      </c>
      <c r="I61" s="15">
        <f>IFERROR(__xludf.DUMMYFUNCTION("""COMPUTED_VALUE"""),0.0)</f>
        <v>0</v>
      </c>
      <c r="J61" s="15">
        <f>IFERROR(__xludf.DUMMYFUNCTION("""COMPUTED_VALUE"""),0.0)</f>
        <v>0</v>
      </c>
      <c r="K61" s="15">
        <f>IFERROR(__xludf.DUMMYFUNCTION("""COMPUTED_VALUE"""),0.0)</f>
        <v>0</v>
      </c>
      <c r="L61" s="14" t="b">
        <v>0</v>
      </c>
    </row>
    <row r="62">
      <c r="A62" s="14">
        <f>IFERROR(__xludf.DUMMYFUNCTION("""COMPUTED_VALUE"""),2.0265061E7)</f>
        <v>20265061</v>
      </c>
      <c r="B62" s="14" t="str">
        <f>IFERROR(__xludf.DUMMYFUNCTION("""COMPUTED_VALUE"""),"INS - Bob Bradley")</f>
        <v>INS - Bob Bradley</v>
      </c>
      <c r="C62" s="14" t="b">
        <f>IFERROR(__xludf.DUMMYFUNCTION("""COMPUTED_VALUE"""),FALSE)</f>
        <v>0</v>
      </c>
      <c r="D62" s="21" t="str">
        <f>IFERROR(__xludf.DUMMYFUNCTION("""COMPUTED_VALUE"""),"")</f>
        <v/>
      </c>
      <c r="E62" s="15">
        <f>IFERROR(__xludf.DUMMYFUNCTION("""COMPUTED_VALUE"""),9210.97)</f>
        <v>9210.97</v>
      </c>
      <c r="F62" s="15">
        <f>IFERROR(__xludf.DUMMYFUNCTION("""COMPUTED_VALUE"""),0.0)</f>
        <v>0</v>
      </c>
      <c r="G62" s="15">
        <f>IFERROR(__xludf.DUMMYFUNCTION("""COMPUTED_VALUE"""),0.0)</f>
        <v>0</v>
      </c>
      <c r="H62" s="15">
        <f>IFERROR(__xludf.DUMMYFUNCTION("""COMPUTED_VALUE"""),0.0)</f>
        <v>0</v>
      </c>
      <c r="I62" s="15">
        <f>IFERROR(__xludf.DUMMYFUNCTION("""COMPUTED_VALUE"""),92.10969999999999)</f>
        <v>92.1097</v>
      </c>
      <c r="J62" s="15">
        <f>IFERROR(__xludf.DUMMYFUNCTION("""COMPUTED_VALUE"""),0.0)</f>
        <v>0</v>
      </c>
      <c r="K62" s="15">
        <f>IFERROR(__xludf.DUMMYFUNCTION("""COMPUTED_VALUE"""),0.0)</f>
        <v>0</v>
      </c>
      <c r="L62" s="14" t="b">
        <v>0</v>
      </c>
    </row>
    <row r="63">
      <c r="A63" s="14">
        <f>IFERROR(__xludf.DUMMYFUNCTION("""COMPUTED_VALUE"""),2.0265062E7)</f>
        <v>20265062</v>
      </c>
      <c r="B63" s="14" t="str">
        <f>IFERROR(__xludf.DUMMYFUNCTION("""COMPUTED_VALUE"""),"Michelle Strickland")</f>
        <v>Michelle Strickland</v>
      </c>
      <c r="C63" s="14" t="b">
        <f>IFERROR(__xludf.DUMMYFUNCTION("""COMPUTED_VALUE"""),FALSE)</f>
        <v>0</v>
      </c>
      <c r="D63" s="21" t="str">
        <f>IFERROR(__xludf.DUMMYFUNCTION("""COMPUTED_VALUE"""),"")</f>
        <v/>
      </c>
      <c r="E63" s="15">
        <f>IFERROR(__xludf.DUMMYFUNCTION("""COMPUTED_VALUE"""),0.0)</f>
        <v>0</v>
      </c>
      <c r="F63" s="15">
        <f>IFERROR(__xludf.DUMMYFUNCTION("""COMPUTED_VALUE"""),0.0)</f>
        <v>0</v>
      </c>
      <c r="G63" s="15">
        <f>IFERROR(__xludf.DUMMYFUNCTION("""COMPUTED_VALUE"""),0.0)</f>
        <v>0</v>
      </c>
      <c r="H63" s="15">
        <f>IFERROR(__xludf.DUMMYFUNCTION("""COMPUTED_VALUE"""),0.0)</f>
        <v>0</v>
      </c>
      <c r="I63" s="15">
        <f>IFERROR(__xludf.DUMMYFUNCTION("""COMPUTED_VALUE"""),0.0)</f>
        <v>0</v>
      </c>
      <c r="J63" s="15">
        <f>IFERROR(__xludf.DUMMYFUNCTION("""COMPUTED_VALUE"""),0.0)</f>
        <v>0</v>
      </c>
      <c r="K63" s="15">
        <f>IFERROR(__xludf.DUMMYFUNCTION("""COMPUTED_VALUE"""),0.0)</f>
        <v>0</v>
      </c>
      <c r="L63" s="14" t="b">
        <v>0</v>
      </c>
    </row>
    <row r="64">
      <c r="A64" s="14">
        <f>IFERROR(__xludf.DUMMYFUNCTION("""COMPUTED_VALUE"""),2.0265063E7)</f>
        <v>20265063</v>
      </c>
      <c r="B64" s="14" t="str">
        <f>IFERROR(__xludf.DUMMYFUNCTION("""COMPUTED_VALUE"""),"INS - John  Stockstill")</f>
        <v>INS - John  Stockstill</v>
      </c>
      <c r="C64" s="14" t="b">
        <f>IFERROR(__xludf.DUMMYFUNCTION("""COMPUTED_VALUE"""),FALSE)</f>
        <v>0</v>
      </c>
      <c r="D64" s="21" t="str">
        <f>IFERROR(__xludf.DUMMYFUNCTION("""COMPUTED_VALUE"""),"")</f>
        <v/>
      </c>
      <c r="E64" s="15">
        <f>IFERROR(__xludf.DUMMYFUNCTION("""COMPUTED_VALUE"""),11601.56)</f>
        <v>11601.56</v>
      </c>
      <c r="F64" s="15">
        <f>IFERROR(__xludf.DUMMYFUNCTION("""COMPUTED_VALUE"""),0.0)</f>
        <v>0</v>
      </c>
      <c r="G64" s="15">
        <f>IFERROR(__xludf.DUMMYFUNCTION("""COMPUTED_VALUE"""),0.0)</f>
        <v>0</v>
      </c>
      <c r="H64" s="15">
        <f>IFERROR(__xludf.DUMMYFUNCTION("""COMPUTED_VALUE"""),0.0)</f>
        <v>0</v>
      </c>
      <c r="I64" s="15">
        <f>IFERROR(__xludf.DUMMYFUNCTION("""COMPUTED_VALUE"""),116.01559999999999)</f>
        <v>116.0156</v>
      </c>
      <c r="J64" s="15">
        <f>IFERROR(__xludf.DUMMYFUNCTION("""COMPUTED_VALUE"""),0.0)</f>
        <v>0</v>
      </c>
      <c r="K64" s="15">
        <f>IFERROR(__xludf.DUMMYFUNCTION("""COMPUTED_VALUE"""),0.0)</f>
        <v>0</v>
      </c>
      <c r="L64" s="14" t="b">
        <v>0</v>
      </c>
    </row>
    <row r="65">
      <c r="A65" s="14">
        <f>IFERROR(__xludf.DUMMYFUNCTION("""COMPUTED_VALUE"""),2.0265064E7)</f>
        <v>20265064</v>
      </c>
      <c r="B65" s="14" t="str">
        <f>IFERROR(__xludf.DUMMYFUNCTION("""COMPUTED_VALUE"""),"INS - Robert Hope")</f>
        <v>INS - Robert Hope</v>
      </c>
      <c r="C65" s="14" t="b">
        <f>IFERROR(__xludf.DUMMYFUNCTION("""COMPUTED_VALUE"""),FALSE)</f>
        <v>0</v>
      </c>
      <c r="D65" s="21" t="str">
        <f>IFERROR(__xludf.DUMMYFUNCTION("""COMPUTED_VALUE"""),"")</f>
        <v/>
      </c>
      <c r="E65" s="15">
        <f>IFERROR(__xludf.DUMMYFUNCTION("""COMPUTED_VALUE"""),0.0)</f>
        <v>0</v>
      </c>
      <c r="F65" s="15">
        <f>IFERROR(__xludf.DUMMYFUNCTION("""COMPUTED_VALUE"""),0.0)</f>
        <v>0</v>
      </c>
      <c r="G65" s="15">
        <f>IFERROR(__xludf.DUMMYFUNCTION("""COMPUTED_VALUE"""),0.0)</f>
        <v>0</v>
      </c>
      <c r="H65" s="15">
        <f>IFERROR(__xludf.DUMMYFUNCTION("""COMPUTED_VALUE"""),0.0)</f>
        <v>0</v>
      </c>
      <c r="I65" s="15">
        <f>IFERROR(__xludf.DUMMYFUNCTION("""COMPUTED_VALUE"""),0.0)</f>
        <v>0</v>
      </c>
      <c r="J65" s="15">
        <f>IFERROR(__xludf.DUMMYFUNCTION("""COMPUTED_VALUE"""),0.0)</f>
        <v>0</v>
      </c>
      <c r="K65" s="15">
        <f>IFERROR(__xludf.DUMMYFUNCTION("""COMPUTED_VALUE"""),0.0)</f>
        <v>0</v>
      </c>
      <c r="L65" s="14" t="b">
        <v>0</v>
      </c>
    </row>
    <row r="66">
      <c r="A66" s="14">
        <f>IFERROR(__xludf.DUMMYFUNCTION("""COMPUTED_VALUE"""),2.0265065E7)</f>
        <v>20265065</v>
      </c>
      <c r="B66" s="14" t="str">
        <f>IFERROR(__xludf.DUMMYFUNCTION("""COMPUTED_VALUE"""),"Steve Liptak")</f>
        <v>Steve Liptak</v>
      </c>
      <c r="C66" s="14" t="b">
        <f>IFERROR(__xludf.DUMMYFUNCTION("""COMPUTED_VALUE"""),FALSE)</f>
        <v>0</v>
      </c>
      <c r="D66" s="21" t="str">
        <f>IFERROR(__xludf.DUMMYFUNCTION("""COMPUTED_VALUE"""),"")</f>
        <v/>
      </c>
      <c r="E66" s="15">
        <f>IFERROR(__xludf.DUMMYFUNCTION("""COMPUTED_VALUE"""),1744.28)</f>
        <v>1744.28</v>
      </c>
      <c r="F66" s="15">
        <f>IFERROR(__xludf.DUMMYFUNCTION("""COMPUTED_VALUE"""),0.0)</f>
        <v>0</v>
      </c>
      <c r="G66" s="15">
        <f>IFERROR(__xludf.DUMMYFUNCTION("""COMPUTED_VALUE"""),0.0)</f>
        <v>0</v>
      </c>
      <c r="H66" s="15">
        <f>IFERROR(__xludf.DUMMYFUNCTION("""COMPUTED_VALUE"""),0.0)</f>
        <v>0</v>
      </c>
      <c r="I66" s="15">
        <f>IFERROR(__xludf.DUMMYFUNCTION("""COMPUTED_VALUE"""),17.442800000000002)</f>
        <v>17.4428</v>
      </c>
      <c r="J66" s="15">
        <f>IFERROR(__xludf.DUMMYFUNCTION("""COMPUTED_VALUE"""),0.0)</f>
        <v>0</v>
      </c>
      <c r="K66" s="15">
        <f>IFERROR(__xludf.DUMMYFUNCTION("""COMPUTED_VALUE"""),0.0)</f>
        <v>0</v>
      </c>
      <c r="L66" s="14" t="b">
        <v>0</v>
      </c>
    </row>
    <row r="67">
      <c r="A67" s="14">
        <f>IFERROR(__xludf.DUMMYFUNCTION("""COMPUTED_VALUE"""),2.0265066E7)</f>
        <v>20265066</v>
      </c>
      <c r="B67" s="14" t="str">
        <f>IFERROR(__xludf.DUMMYFUNCTION("""COMPUTED_VALUE"""),"INS - Steve Creager")</f>
        <v>INS - Steve Creager</v>
      </c>
      <c r="C67" s="14" t="b">
        <f>IFERROR(__xludf.DUMMYFUNCTION("""COMPUTED_VALUE"""),FALSE)</f>
        <v>0</v>
      </c>
      <c r="D67" s="21" t="str">
        <f>IFERROR(__xludf.DUMMYFUNCTION("""COMPUTED_VALUE"""),"")</f>
        <v/>
      </c>
      <c r="E67" s="15">
        <f>IFERROR(__xludf.DUMMYFUNCTION("""COMPUTED_VALUE"""),1190.0)</f>
        <v>1190</v>
      </c>
      <c r="F67" s="15">
        <f>IFERROR(__xludf.DUMMYFUNCTION("""COMPUTED_VALUE"""),0.0)</f>
        <v>0</v>
      </c>
      <c r="G67" s="15">
        <f>IFERROR(__xludf.DUMMYFUNCTION("""COMPUTED_VALUE"""),0.0)</f>
        <v>0</v>
      </c>
      <c r="H67" s="15">
        <f>IFERROR(__xludf.DUMMYFUNCTION("""COMPUTED_VALUE"""),0.0)</f>
        <v>0</v>
      </c>
      <c r="I67" s="15">
        <f>IFERROR(__xludf.DUMMYFUNCTION("""COMPUTED_VALUE"""),11.9)</f>
        <v>11.9</v>
      </c>
      <c r="J67" s="15">
        <f>IFERROR(__xludf.DUMMYFUNCTION("""COMPUTED_VALUE"""),0.0)</f>
        <v>0</v>
      </c>
      <c r="K67" s="15">
        <f>IFERROR(__xludf.DUMMYFUNCTION("""COMPUTED_VALUE"""),0.0)</f>
        <v>0</v>
      </c>
      <c r="L67" s="14" t="b">
        <v>0</v>
      </c>
    </row>
    <row r="68">
      <c r="A68" s="14">
        <f>IFERROR(__xludf.DUMMYFUNCTION("""COMPUTED_VALUE"""),2.0265067E7)</f>
        <v>20265067</v>
      </c>
      <c r="B68" s="14" t="str">
        <f>IFERROR(__xludf.DUMMYFUNCTION("""COMPUTED_VALUE"""),"INS - Adam Mott")</f>
        <v>INS - Adam Mott</v>
      </c>
      <c r="C68" s="14" t="b">
        <f>IFERROR(__xludf.DUMMYFUNCTION("""COMPUTED_VALUE"""),FALSE)</f>
        <v>0</v>
      </c>
      <c r="D68" s="21" t="str">
        <f>IFERROR(__xludf.DUMMYFUNCTION("""COMPUTED_VALUE"""),"")</f>
        <v/>
      </c>
      <c r="E68" s="15">
        <f>IFERROR(__xludf.DUMMYFUNCTION("""COMPUTED_VALUE"""),0.0)</f>
        <v>0</v>
      </c>
      <c r="F68" s="15">
        <f>IFERROR(__xludf.DUMMYFUNCTION("""COMPUTED_VALUE"""),0.0)</f>
        <v>0</v>
      </c>
      <c r="G68" s="15">
        <f>IFERROR(__xludf.DUMMYFUNCTION("""COMPUTED_VALUE"""),0.0)</f>
        <v>0</v>
      </c>
      <c r="H68" s="15">
        <f>IFERROR(__xludf.DUMMYFUNCTION("""COMPUTED_VALUE"""),0.0)</f>
        <v>0</v>
      </c>
      <c r="I68" s="15">
        <f>IFERROR(__xludf.DUMMYFUNCTION("""COMPUTED_VALUE"""),0.0)</f>
        <v>0</v>
      </c>
      <c r="J68" s="15">
        <f>IFERROR(__xludf.DUMMYFUNCTION("""COMPUTED_VALUE"""),0.0)</f>
        <v>0</v>
      </c>
      <c r="K68" s="15">
        <f>IFERROR(__xludf.DUMMYFUNCTION("""COMPUTED_VALUE"""),0.0)</f>
        <v>0</v>
      </c>
      <c r="L68" s="14" t="b">
        <v>0</v>
      </c>
    </row>
    <row r="69">
      <c r="A69" s="14">
        <f>IFERROR(__xludf.DUMMYFUNCTION("""COMPUTED_VALUE"""),2.0265068E7)</f>
        <v>20265068</v>
      </c>
      <c r="B69" s="14" t="str">
        <f>IFERROR(__xludf.DUMMYFUNCTION("""COMPUTED_VALUE"""),"INS - Jonathan Humphreys")</f>
        <v>INS - Jonathan Humphreys</v>
      </c>
      <c r="C69" s="14" t="b">
        <f>IFERROR(__xludf.DUMMYFUNCTION("""COMPUTED_VALUE"""),FALSE)</f>
        <v>0</v>
      </c>
      <c r="D69" s="21" t="str">
        <f>IFERROR(__xludf.DUMMYFUNCTION("""COMPUTED_VALUE"""),"")</f>
        <v/>
      </c>
      <c r="E69" s="15">
        <f>IFERROR(__xludf.DUMMYFUNCTION("""COMPUTED_VALUE"""),0.0)</f>
        <v>0</v>
      </c>
      <c r="F69" s="15">
        <f>IFERROR(__xludf.DUMMYFUNCTION("""COMPUTED_VALUE"""),0.0)</f>
        <v>0</v>
      </c>
      <c r="G69" s="15">
        <f>IFERROR(__xludf.DUMMYFUNCTION("""COMPUTED_VALUE"""),0.0)</f>
        <v>0</v>
      </c>
      <c r="H69" s="15">
        <f>IFERROR(__xludf.DUMMYFUNCTION("""COMPUTED_VALUE"""),0.0)</f>
        <v>0</v>
      </c>
      <c r="I69" s="15">
        <f>IFERROR(__xludf.DUMMYFUNCTION("""COMPUTED_VALUE"""),0.0)</f>
        <v>0</v>
      </c>
      <c r="J69" s="15">
        <f>IFERROR(__xludf.DUMMYFUNCTION("""COMPUTED_VALUE"""),0.0)</f>
        <v>0</v>
      </c>
      <c r="K69" s="15">
        <f>IFERROR(__xludf.DUMMYFUNCTION("""COMPUTED_VALUE"""),0.0)</f>
        <v>0</v>
      </c>
      <c r="L69" s="14" t="b">
        <v>0</v>
      </c>
    </row>
    <row r="70">
      <c r="A70" s="14">
        <f>IFERROR(__xludf.DUMMYFUNCTION("""COMPUTED_VALUE"""),2.0265069E7)</f>
        <v>20265069</v>
      </c>
      <c r="B70" s="14" t="str">
        <f>IFERROR(__xludf.DUMMYFUNCTION("""COMPUTED_VALUE"""),"Dana Roberts - siding repair")</f>
        <v>Dana Roberts - siding repair</v>
      </c>
      <c r="C70" s="14" t="b">
        <f>IFERROR(__xludf.DUMMYFUNCTION("""COMPUTED_VALUE"""),FALSE)</f>
        <v>0</v>
      </c>
      <c r="D70" s="21" t="str">
        <f>IFERROR(__xludf.DUMMYFUNCTION("""COMPUTED_VALUE"""),"")</f>
        <v/>
      </c>
      <c r="E70" s="15">
        <f>IFERROR(__xludf.DUMMYFUNCTION("""COMPUTED_VALUE"""),707.5)</f>
        <v>707.5</v>
      </c>
      <c r="F70" s="15">
        <f>IFERROR(__xludf.DUMMYFUNCTION("""COMPUTED_VALUE"""),0.0)</f>
        <v>0</v>
      </c>
      <c r="G70" s="15">
        <f>IFERROR(__xludf.DUMMYFUNCTION("""COMPUTED_VALUE"""),0.0)</f>
        <v>0</v>
      </c>
      <c r="H70" s="15">
        <f>IFERROR(__xludf.DUMMYFUNCTION("""COMPUTED_VALUE"""),0.0)</f>
        <v>0</v>
      </c>
      <c r="I70" s="15">
        <f>IFERROR(__xludf.DUMMYFUNCTION("""COMPUTED_VALUE"""),7.075)</f>
        <v>7.075</v>
      </c>
      <c r="J70" s="15">
        <f>IFERROR(__xludf.DUMMYFUNCTION("""COMPUTED_VALUE"""),0.0)</f>
        <v>0</v>
      </c>
      <c r="K70" s="15">
        <f>IFERROR(__xludf.DUMMYFUNCTION("""COMPUTED_VALUE"""),0.0)</f>
        <v>0</v>
      </c>
      <c r="L70" s="14" t="b">
        <v>0</v>
      </c>
    </row>
    <row r="71">
      <c r="A71" s="14">
        <f>IFERROR(__xludf.DUMMYFUNCTION("""COMPUTED_VALUE"""),2.026507E7)</f>
        <v>20265070</v>
      </c>
      <c r="B71" s="14" t="str">
        <f>IFERROR(__xludf.DUMMYFUNCTION("""COMPUTED_VALUE"""),"INS - Ashley Dean")</f>
        <v>INS - Ashley Dean</v>
      </c>
      <c r="C71" s="14" t="b">
        <f>IFERROR(__xludf.DUMMYFUNCTION("""COMPUTED_VALUE"""),FALSE)</f>
        <v>0</v>
      </c>
      <c r="D71" s="21" t="str">
        <f>IFERROR(__xludf.DUMMYFUNCTION("""COMPUTED_VALUE"""),"")</f>
        <v/>
      </c>
      <c r="E71" s="15">
        <f>IFERROR(__xludf.DUMMYFUNCTION("""COMPUTED_VALUE"""),0.0)</f>
        <v>0</v>
      </c>
      <c r="F71" s="15">
        <f>IFERROR(__xludf.DUMMYFUNCTION("""COMPUTED_VALUE"""),0.0)</f>
        <v>0</v>
      </c>
      <c r="G71" s="15">
        <f>IFERROR(__xludf.DUMMYFUNCTION("""COMPUTED_VALUE"""),750.0)</f>
        <v>750</v>
      </c>
      <c r="H71" s="15">
        <f>IFERROR(__xludf.DUMMYFUNCTION("""COMPUTED_VALUE"""),0.0)</f>
        <v>0</v>
      </c>
      <c r="I71" s="15">
        <f>IFERROR(__xludf.DUMMYFUNCTION("""COMPUTED_VALUE"""),0.0)</f>
        <v>0</v>
      </c>
      <c r="J71" s="15">
        <f>IFERROR(__xludf.DUMMYFUNCTION("""COMPUTED_VALUE"""),0.0)</f>
        <v>0</v>
      </c>
      <c r="K71" s="15">
        <f>IFERROR(__xludf.DUMMYFUNCTION("""COMPUTED_VALUE"""),0.0)</f>
        <v>0</v>
      </c>
      <c r="L71" s="14" t="b">
        <v>0</v>
      </c>
    </row>
    <row r="72">
      <c r="A72" s="14">
        <f>IFERROR(__xludf.DUMMYFUNCTION("""COMPUTED_VALUE"""),2.0265071E7)</f>
        <v>20265071</v>
      </c>
      <c r="B72" s="14" t="str">
        <f>IFERROR(__xludf.DUMMYFUNCTION("""COMPUTED_VALUE"""),"INS - Steve Elrich")</f>
        <v>INS - Steve Elrich</v>
      </c>
      <c r="C72" s="14" t="b">
        <f>IFERROR(__xludf.DUMMYFUNCTION("""COMPUTED_VALUE"""),FALSE)</f>
        <v>0</v>
      </c>
      <c r="D72" s="21" t="str">
        <f>IFERROR(__xludf.DUMMYFUNCTION("""COMPUTED_VALUE"""),"")</f>
        <v/>
      </c>
      <c r="E72" s="15">
        <f>IFERROR(__xludf.DUMMYFUNCTION("""COMPUTED_VALUE"""),25681.99)</f>
        <v>25681.99</v>
      </c>
      <c r="F72" s="15">
        <f>IFERROR(__xludf.DUMMYFUNCTION("""COMPUTED_VALUE"""),0.0)</f>
        <v>0</v>
      </c>
      <c r="G72" s="15">
        <f>IFERROR(__xludf.DUMMYFUNCTION("""COMPUTED_VALUE"""),0.0)</f>
        <v>0</v>
      </c>
      <c r="H72" s="15">
        <f>IFERROR(__xludf.DUMMYFUNCTION("""COMPUTED_VALUE"""),0.0)</f>
        <v>0</v>
      </c>
      <c r="I72" s="15">
        <f>IFERROR(__xludf.DUMMYFUNCTION("""COMPUTED_VALUE"""),256.8199)</f>
        <v>256.8199</v>
      </c>
      <c r="J72" s="15">
        <f>IFERROR(__xludf.DUMMYFUNCTION("""COMPUTED_VALUE"""),0.0)</f>
        <v>0</v>
      </c>
      <c r="K72" s="15">
        <f>IFERROR(__xludf.DUMMYFUNCTION("""COMPUTED_VALUE"""),0.0)</f>
        <v>0</v>
      </c>
      <c r="L72" s="14" t="b">
        <v>0</v>
      </c>
    </row>
    <row r="73">
      <c r="A73" s="14">
        <f>IFERROR(__xludf.DUMMYFUNCTION("""COMPUTED_VALUE"""),2.0265072E7)</f>
        <v>20265072</v>
      </c>
      <c r="B73" s="14" t="str">
        <f>IFERROR(__xludf.DUMMYFUNCTION("""COMPUTED_VALUE"""),"Justin Oeder")</f>
        <v>Justin Oeder</v>
      </c>
      <c r="C73" s="14" t="b">
        <f>IFERROR(__xludf.DUMMYFUNCTION("""COMPUTED_VALUE"""),FALSE)</f>
        <v>0</v>
      </c>
      <c r="D73" s="21">
        <f>IFERROR(__xludf.DUMMYFUNCTION("""COMPUTED_VALUE"""),0.588477366255144)</f>
        <v>0.5884773663</v>
      </c>
      <c r="E73" s="15">
        <f>IFERROR(__xludf.DUMMYFUNCTION("""COMPUTED_VALUE"""),607.5)</f>
        <v>607.5</v>
      </c>
      <c r="F73" s="15">
        <f>IFERROR(__xludf.DUMMYFUNCTION("""COMPUTED_VALUE"""),0.0)</f>
        <v>0</v>
      </c>
      <c r="G73" s="15">
        <f>IFERROR(__xludf.DUMMYFUNCTION("""COMPUTED_VALUE"""),607.5)</f>
        <v>607.5</v>
      </c>
      <c r="H73" s="15">
        <f>IFERROR(__xludf.DUMMYFUNCTION("""COMPUTED_VALUE"""),0.0)</f>
        <v>0</v>
      </c>
      <c r="I73" s="15">
        <f>IFERROR(__xludf.DUMMYFUNCTION("""COMPUTED_VALUE"""),6.075)</f>
        <v>6.075</v>
      </c>
      <c r="J73" s="15">
        <f>IFERROR(__xludf.DUMMYFUNCTION("""COMPUTED_VALUE"""),0.0)</f>
        <v>0</v>
      </c>
      <c r="K73" s="15">
        <f>IFERROR(__xludf.DUMMYFUNCTION("""COMPUTED_VALUE"""),0.0)</f>
        <v>0</v>
      </c>
      <c r="L73" s="14" t="b">
        <v>0</v>
      </c>
    </row>
    <row r="74">
      <c r="A74" s="14">
        <f>IFERROR(__xludf.DUMMYFUNCTION("""COMPUTED_VALUE"""),2.0265073E7)</f>
        <v>20265073</v>
      </c>
      <c r="B74" s="14" t="str">
        <f>IFERROR(__xludf.DUMMYFUNCTION("""COMPUTED_VALUE"""),"INS - Patricia Howard")</f>
        <v>INS - Patricia Howard</v>
      </c>
      <c r="C74" s="14" t="b">
        <f>IFERROR(__xludf.DUMMYFUNCTION("""COMPUTED_VALUE"""),FALSE)</f>
        <v>0</v>
      </c>
      <c r="D74" s="21" t="str">
        <f>IFERROR(__xludf.DUMMYFUNCTION("""COMPUTED_VALUE"""),"")</f>
        <v/>
      </c>
      <c r="E74" s="15">
        <f>IFERROR(__xludf.DUMMYFUNCTION("""COMPUTED_VALUE"""),9068.42)</f>
        <v>9068.42</v>
      </c>
      <c r="F74" s="15">
        <f>IFERROR(__xludf.DUMMYFUNCTION("""COMPUTED_VALUE"""),0.0)</f>
        <v>0</v>
      </c>
      <c r="G74" s="15">
        <f>IFERROR(__xludf.DUMMYFUNCTION("""COMPUTED_VALUE"""),0.0)</f>
        <v>0</v>
      </c>
      <c r="H74" s="15">
        <f>IFERROR(__xludf.DUMMYFUNCTION("""COMPUTED_VALUE"""),0.0)</f>
        <v>0</v>
      </c>
      <c r="I74" s="15">
        <f>IFERROR(__xludf.DUMMYFUNCTION("""COMPUTED_VALUE"""),90.6842)</f>
        <v>90.6842</v>
      </c>
      <c r="J74" s="15">
        <f>IFERROR(__xludf.DUMMYFUNCTION("""COMPUTED_VALUE"""),0.0)</f>
        <v>0</v>
      </c>
      <c r="K74" s="15">
        <f>IFERROR(__xludf.DUMMYFUNCTION("""COMPUTED_VALUE"""),0.0)</f>
        <v>0</v>
      </c>
      <c r="L74" s="14" t="b">
        <v>0</v>
      </c>
    </row>
    <row r="75">
      <c r="A75" s="14">
        <f>IFERROR(__xludf.DUMMYFUNCTION("""COMPUTED_VALUE"""),2.0265074E7)</f>
        <v>20265074</v>
      </c>
      <c r="B75" s="14" t="str">
        <f>IFERROR(__xludf.DUMMYFUNCTION("""COMPUTED_VALUE"""),"INS - Brad Burtus")</f>
        <v>INS - Brad Burtus</v>
      </c>
      <c r="C75" s="14" t="b">
        <f>IFERROR(__xludf.DUMMYFUNCTION("""COMPUTED_VALUE"""),FALSE)</f>
        <v>0</v>
      </c>
      <c r="D75" s="21" t="str">
        <f>IFERROR(__xludf.DUMMYFUNCTION("""COMPUTED_VALUE"""),"")</f>
        <v/>
      </c>
      <c r="E75" s="15">
        <f>IFERROR(__xludf.DUMMYFUNCTION("""COMPUTED_VALUE"""),0.0)</f>
        <v>0</v>
      </c>
      <c r="F75" s="15">
        <f>IFERROR(__xludf.DUMMYFUNCTION("""COMPUTED_VALUE"""),0.0)</f>
        <v>0</v>
      </c>
      <c r="G75" s="15">
        <f>IFERROR(__xludf.DUMMYFUNCTION("""COMPUTED_VALUE"""),550.0)</f>
        <v>550</v>
      </c>
      <c r="H75" s="15">
        <f>IFERROR(__xludf.DUMMYFUNCTION("""COMPUTED_VALUE"""),0.0)</f>
        <v>0</v>
      </c>
      <c r="I75" s="15">
        <f>IFERROR(__xludf.DUMMYFUNCTION("""COMPUTED_VALUE"""),0.0)</f>
        <v>0</v>
      </c>
      <c r="J75" s="15">
        <f>IFERROR(__xludf.DUMMYFUNCTION("""COMPUTED_VALUE"""),0.0)</f>
        <v>0</v>
      </c>
      <c r="K75" s="15">
        <f>IFERROR(__xludf.DUMMYFUNCTION("""COMPUTED_VALUE"""),0.0)</f>
        <v>0</v>
      </c>
      <c r="L75" s="14" t="b">
        <v>0</v>
      </c>
    </row>
    <row r="76">
      <c r="A76" s="17">
        <f>IFERROR(__xludf.DUMMYFUNCTION("""COMPUTED_VALUE"""),2.0265075E7)</f>
        <v>20265075</v>
      </c>
      <c r="B76" s="17" t="str">
        <f>IFERROR(__xludf.DUMMYFUNCTION("""COMPUTED_VALUE"""),"INS - Maurice Docton")</f>
        <v>INS - Maurice Docton</v>
      </c>
      <c r="C76" s="17" t="b">
        <f>IFERROR(__xludf.DUMMYFUNCTION("""COMPUTED_VALUE"""),TRUE)</f>
        <v>1</v>
      </c>
      <c r="D76" s="18">
        <f>IFERROR(__xludf.DUMMYFUNCTION("""COMPUTED_VALUE"""),1.0)</f>
        <v>1</v>
      </c>
      <c r="E76" s="19">
        <f>IFERROR(__xludf.DUMMYFUNCTION("""COMPUTED_VALUE"""),544.79)</f>
        <v>544.79</v>
      </c>
      <c r="F76" s="19">
        <f>IFERROR(__xludf.DUMMYFUNCTION("""COMPUTED_VALUE"""),55.210000000000036)</f>
        <v>55.21</v>
      </c>
      <c r="G76" s="19">
        <f>IFERROR(__xludf.DUMMYFUNCTION("""COMPUTED_VALUE"""),544.79)</f>
        <v>544.79</v>
      </c>
      <c r="H76" s="19">
        <f>IFERROR(__xludf.DUMMYFUNCTION("""COMPUTED_VALUE"""),600.0)</f>
        <v>600</v>
      </c>
      <c r="I76" s="19">
        <f>IFERROR(__xludf.DUMMYFUNCTION("""COMPUTED_VALUE"""),6.0)</f>
        <v>6</v>
      </c>
      <c r="J76" s="19">
        <f>IFERROR(__xludf.DUMMYFUNCTION("""COMPUTED_VALUE"""),6.0)</f>
        <v>6</v>
      </c>
      <c r="K76" s="19">
        <f>IFERROR(__xludf.DUMMYFUNCTION("""COMPUTED_VALUE"""),0.0)</f>
        <v>0</v>
      </c>
      <c r="L76" s="20" t="b">
        <v>0</v>
      </c>
    </row>
    <row r="77">
      <c r="A77" s="14">
        <f>IFERROR(__xludf.DUMMYFUNCTION("""COMPUTED_VALUE"""),2.0265076E7)</f>
        <v>20265076</v>
      </c>
      <c r="B77" s="14" t="str">
        <f>IFERROR(__xludf.DUMMYFUNCTION("""COMPUTED_VALUE"""),"Louden Saulbeamer")</f>
        <v>Louden Saulbeamer</v>
      </c>
      <c r="C77" s="14" t="b">
        <f>IFERROR(__xludf.DUMMYFUNCTION("""COMPUTED_VALUE"""),FALSE)</f>
        <v>0</v>
      </c>
      <c r="D77" s="21">
        <f>IFERROR(__xludf.DUMMYFUNCTION("""COMPUTED_VALUE"""),0.4957983193277311)</f>
        <v>0.4957983193</v>
      </c>
      <c r="E77" s="15">
        <f>IFERROR(__xludf.DUMMYFUNCTION("""COMPUTED_VALUE"""),1190.0)</f>
        <v>1190</v>
      </c>
      <c r="F77" s="15">
        <f>IFERROR(__xludf.DUMMYFUNCTION("""COMPUTED_VALUE"""),0.0)</f>
        <v>0</v>
      </c>
      <c r="G77" s="15">
        <f>IFERROR(__xludf.DUMMYFUNCTION("""COMPUTED_VALUE"""),1190.0)</f>
        <v>1190</v>
      </c>
      <c r="H77" s="15">
        <f>IFERROR(__xludf.DUMMYFUNCTION("""COMPUTED_VALUE"""),0.0)</f>
        <v>0</v>
      </c>
      <c r="I77" s="15">
        <f>IFERROR(__xludf.DUMMYFUNCTION("""COMPUTED_VALUE"""),11.9)</f>
        <v>11.9</v>
      </c>
      <c r="J77" s="15">
        <f>IFERROR(__xludf.DUMMYFUNCTION("""COMPUTED_VALUE"""),0.0)</f>
        <v>0</v>
      </c>
      <c r="K77" s="15">
        <f>IFERROR(__xludf.DUMMYFUNCTION("""COMPUTED_VALUE"""),0.0)</f>
        <v>0</v>
      </c>
      <c r="L77" s="14" t="b">
        <v>0</v>
      </c>
    </row>
    <row r="78">
      <c r="A78" s="14">
        <f>IFERROR(__xludf.DUMMYFUNCTION("""COMPUTED_VALUE"""),2.0265077E7)</f>
        <v>20265077</v>
      </c>
      <c r="B78" s="14" t="str">
        <f>IFERROR(__xludf.DUMMYFUNCTION("""COMPUTED_VALUE"""),"Stacey Underwood")</f>
        <v>Stacey Underwood</v>
      </c>
      <c r="C78" s="14" t="b">
        <f>IFERROR(__xludf.DUMMYFUNCTION("""COMPUTED_VALUE"""),FALSE)</f>
        <v>0</v>
      </c>
      <c r="D78" s="21" t="str">
        <f>IFERROR(__xludf.DUMMYFUNCTION("""COMPUTED_VALUE"""),"")</f>
        <v/>
      </c>
      <c r="E78" s="15">
        <f>IFERROR(__xludf.DUMMYFUNCTION("""COMPUTED_VALUE"""),0.0)</f>
        <v>0</v>
      </c>
      <c r="F78" s="15">
        <f>IFERROR(__xludf.DUMMYFUNCTION("""COMPUTED_VALUE"""),0.0)</f>
        <v>0</v>
      </c>
      <c r="G78" s="15">
        <f>IFERROR(__xludf.DUMMYFUNCTION("""COMPUTED_VALUE"""),0.0)</f>
        <v>0</v>
      </c>
      <c r="H78" s="15">
        <f>IFERROR(__xludf.DUMMYFUNCTION("""COMPUTED_VALUE"""),0.0)</f>
        <v>0</v>
      </c>
      <c r="I78" s="15">
        <f>IFERROR(__xludf.DUMMYFUNCTION("""COMPUTED_VALUE"""),0.0)</f>
        <v>0</v>
      </c>
      <c r="J78" s="15">
        <f>IFERROR(__xludf.DUMMYFUNCTION("""COMPUTED_VALUE"""),0.0)</f>
        <v>0</v>
      </c>
      <c r="K78" s="15">
        <f>IFERROR(__xludf.DUMMYFUNCTION("""COMPUTED_VALUE"""),0.0)</f>
        <v>0</v>
      </c>
      <c r="L78" s="14" t="b">
        <v>0</v>
      </c>
    </row>
    <row r="79">
      <c r="A79" s="14">
        <f>IFERROR(__xludf.DUMMYFUNCTION("""COMPUTED_VALUE"""),2.0265078E7)</f>
        <v>20265078</v>
      </c>
      <c r="B79" s="14" t="str">
        <f>IFERROR(__xludf.DUMMYFUNCTION("""COMPUTED_VALUE"""),"Jim Ashburn")</f>
        <v>Jim Ashburn</v>
      </c>
      <c r="C79" s="14" t="b">
        <f>IFERROR(__xludf.DUMMYFUNCTION("""COMPUTED_VALUE"""),FALSE)</f>
        <v>0</v>
      </c>
      <c r="D79" s="21" t="str">
        <f>IFERROR(__xludf.DUMMYFUNCTION("""COMPUTED_VALUE"""),"")</f>
        <v/>
      </c>
      <c r="E79" s="15">
        <f>IFERROR(__xludf.DUMMYFUNCTION("""COMPUTED_VALUE"""),12821.96)</f>
        <v>12821.96</v>
      </c>
      <c r="F79" s="15">
        <f>IFERROR(__xludf.DUMMYFUNCTION("""COMPUTED_VALUE"""),0.0)</f>
        <v>0</v>
      </c>
      <c r="G79" s="15">
        <f>IFERROR(__xludf.DUMMYFUNCTION("""COMPUTED_VALUE"""),0.0)</f>
        <v>0</v>
      </c>
      <c r="H79" s="15">
        <f>IFERROR(__xludf.DUMMYFUNCTION("""COMPUTED_VALUE"""),0.0)</f>
        <v>0</v>
      </c>
      <c r="I79" s="15">
        <f>IFERROR(__xludf.DUMMYFUNCTION("""COMPUTED_VALUE"""),128.21959999999999)</f>
        <v>128.2196</v>
      </c>
      <c r="J79" s="15">
        <f>IFERROR(__xludf.DUMMYFUNCTION("""COMPUTED_VALUE"""),0.0)</f>
        <v>0</v>
      </c>
      <c r="K79" s="15">
        <f>IFERROR(__xludf.DUMMYFUNCTION("""COMPUTED_VALUE"""),0.0)</f>
        <v>0</v>
      </c>
      <c r="L79" s="14" t="b">
        <v>0</v>
      </c>
    </row>
    <row r="80">
      <c r="A80" s="14">
        <f>IFERROR(__xludf.DUMMYFUNCTION("""COMPUTED_VALUE"""),2.0265079E7)</f>
        <v>20265079</v>
      </c>
      <c r="B80" s="14" t="str">
        <f>IFERROR(__xludf.DUMMYFUNCTION("""COMPUTED_VALUE"""),"Paula Pinson")</f>
        <v>Paula Pinson</v>
      </c>
      <c r="C80" s="14" t="b">
        <f>IFERROR(__xludf.DUMMYFUNCTION("""COMPUTED_VALUE"""),FALSE)</f>
        <v>0</v>
      </c>
      <c r="D80" s="21" t="str">
        <f>IFERROR(__xludf.DUMMYFUNCTION("""COMPUTED_VALUE"""),"")</f>
        <v/>
      </c>
      <c r="E80" s="15">
        <f>IFERROR(__xludf.DUMMYFUNCTION("""COMPUTED_VALUE"""),597.18)</f>
        <v>597.18</v>
      </c>
      <c r="F80" s="15">
        <f>IFERROR(__xludf.DUMMYFUNCTION("""COMPUTED_VALUE"""),0.0)</f>
        <v>0</v>
      </c>
      <c r="G80" s="15">
        <f>IFERROR(__xludf.DUMMYFUNCTION("""COMPUTED_VALUE"""),0.0)</f>
        <v>0</v>
      </c>
      <c r="H80" s="15">
        <f>IFERROR(__xludf.DUMMYFUNCTION("""COMPUTED_VALUE"""),0.0)</f>
        <v>0</v>
      </c>
      <c r="I80" s="15">
        <f>IFERROR(__xludf.DUMMYFUNCTION("""COMPUTED_VALUE"""),5.9718)</f>
        <v>5.9718</v>
      </c>
      <c r="J80" s="15">
        <f>IFERROR(__xludf.DUMMYFUNCTION("""COMPUTED_VALUE"""),0.0)</f>
        <v>0</v>
      </c>
      <c r="K80" s="15">
        <f>IFERROR(__xludf.DUMMYFUNCTION("""COMPUTED_VALUE"""),0.0)</f>
        <v>0</v>
      </c>
      <c r="L80" s="14" t="b">
        <v>0</v>
      </c>
    </row>
    <row r="81">
      <c r="A81" s="14">
        <f>IFERROR(__xludf.DUMMYFUNCTION("""COMPUTED_VALUE"""),2.026508E7)</f>
        <v>20265080</v>
      </c>
      <c r="B81" s="14" t="str">
        <f>IFERROR(__xludf.DUMMYFUNCTION("""COMPUTED_VALUE"""),"Vince Baldasare - siding repair")</f>
        <v>Vince Baldasare - siding repair</v>
      </c>
      <c r="C81" s="14" t="b">
        <f>IFERROR(__xludf.DUMMYFUNCTION("""COMPUTED_VALUE"""),FALSE)</f>
        <v>0</v>
      </c>
      <c r="D81" s="21">
        <f>IFERROR(__xludf.DUMMYFUNCTION("""COMPUTED_VALUE"""),0.5542164179104477)</f>
        <v>0.5542164179</v>
      </c>
      <c r="E81" s="15">
        <f>IFERROR(__xludf.DUMMYFUNCTION("""COMPUTED_VALUE"""),1340.0)</f>
        <v>1340</v>
      </c>
      <c r="F81" s="15">
        <f>IFERROR(__xludf.DUMMYFUNCTION("""COMPUTED_VALUE"""),0.0)</f>
        <v>0</v>
      </c>
      <c r="G81" s="15">
        <f>IFERROR(__xludf.DUMMYFUNCTION("""COMPUTED_VALUE"""),1340.0)</f>
        <v>1340</v>
      </c>
      <c r="H81" s="15">
        <f>IFERROR(__xludf.DUMMYFUNCTION("""COMPUTED_VALUE"""),0.0)</f>
        <v>0</v>
      </c>
      <c r="I81" s="15">
        <f>IFERROR(__xludf.DUMMYFUNCTION("""COMPUTED_VALUE"""),13.4)</f>
        <v>13.4</v>
      </c>
      <c r="J81" s="15">
        <f>IFERROR(__xludf.DUMMYFUNCTION("""COMPUTED_VALUE"""),0.0)</f>
        <v>0</v>
      </c>
      <c r="K81" s="15">
        <f>IFERROR(__xludf.DUMMYFUNCTION("""COMPUTED_VALUE"""),0.0)</f>
        <v>0</v>
      </c>
      <c r="L81" s="14" t="b">
        <v>0</v>
      </c>
    </row>
    <row r="82">
      <c r="A82" s="14">
        <f>IFERROR(__xludf.DUMMYFUNCTION("""COMPUTED_VALUE"""),2.0265081E7)</f>
        <v>20265081</v>
      </c>
      <c r="B82" s="14" t="str">
        <f>IFERROR(__xludf.DUMMYFUNCTION("""COMPUTED_VALUE"""),"Amy Hirsch")</f>
        <v>Amy Hirsch</v>
      </c>
      <c r="C82" s="14" t="b">
        <f>IFERROR(__xludf.DUMMYFUNCTION("""COMPUTED_VALUE"""),FALSE)</f>
        <v>0</v>
      </c>
      <c r="D82" s="21" t="str">
        <f>IFERROR(__xludf.DUMMYFUNCTION("""COMPUTED_VALUE"""),"")</f>
        <v/>
      </c>
      <c r="E82" s="15">
        <f>IFERROR(__xludf.DUMMYFUNCTION("""COMPUTED_VALUE"""),0.0)</f>
        <v>0</v>
      </c>
      <c r="F82" s="15">
        <f>IFERROR(__xludf.DUMMYFUNCTION("""COMPUTED_VALUE"""),0.0)</f>
        <v>0</v>
      </c>
      <c r="G82" s="15">
        <f>IFERROR(__xludf.DUMMYFUNCTION("""COMPUTED_VALUE"""),0.0)</f>
        <v>0</v>
      </c>
      <c r="H82" s="15">
        <f>IFERROR(__xludf.DUMMYFUNCTION("""COMPUTED_VALUE"""),0.0)</f>
        <v>0</v>
      </c>
      <c r="I82" s="15">
        <f>IFERROR(__xludf.DUMMYFUNCTION("""COMPUTED_VALUE"""),0.0)</f>
        <v>0</v>
      </c>
      <c r="J82" s="15">
        <f>IFERROR(__xludf.DUMMYFUNCTION("""COMPUTED_VALUE"""),0.0)</f>
        <v>0</v>
      </c>
      <c r="K82" s="15">
        <f>IFERROR(__xludf.DUMMYFUNCTION("""COMPUTED_VALUE"""),0.0)</f>
        <v>0</v>
      </c>
      <c r="L82" s="14" t="b">
        <v>0</v>
      </c>
    </row>
    <row r="83">
      <c r="A83" s="24">
        <f>IFERROR(__xludf.DUMMYFUNCTION("""COMPUTED_VALUE"""),2.0265082E7)</f>
        <v>20265082</v>
      </c>
      <c r="B83" s="24" t="str">
        <f>IFERROR(__xludf.DUMMYFUNCTION("""COMPUTED_VALUE"""),"Gregg Marshall")</f>
        <v>Gregg Marshall</v>
      </c>
      <c r="C83" s="24" t="b">
        <f>IFERROR(__xludf.DUMMYFUNCTION("""COMPUTED_VALUE"""),TRUE)</f>
        <v>1</v>
      </c>
      <c r="D83" s="25">
        <f>IFERROR(__xludf.DUMMYFUNCTION("""COMPUTED_VALUE"""),0.591006993006993)</f>
        <v>0.591006993</v>
      </c>
      <c r="E83" s="26">
        <f>IFERROR(__xludf.DUMMYFUNCTION("""COMPUTED_VALUE"""),715.0)</f>
        <v>715</v>
      </c>
      <c r="F83" s="26">
        <f>IFERROR(__xludf.DUMMYFUNCTION("""COMPUTED_VALUE"""),0.0)</f>
        <v>0</v>
      </c>
      <c r="G83" s="26">
        <f>IFERROR(__xludf.DUMMYFUNCTION("""COMPUTED_VALUE"""),715.0)</f>
        <v>715</v>
      </c>
      <c r="H83" s="26">
        <f>IFERROR(__xludf.DUMMYFUNCTION("""COMPUTED_VALUE"""),715.0)</f>
        <v>715</v>
      </c>
      <c r="I83" s="26">
        <f>IFERROR(__xludf.DUMMYFUNCTION("""COMPUTED_VALUE"""),7.15)</f>
        <v>7.15</v>
      </c>
      <c r="J83" s="26">
        <f>IFERROR(__xludf.DUMMYFUNCTION("""COMPUTED_VALUE"""),0.0)</f>
        <v>0</v>
      </c>
      <c r="K83" s="26">
        <f>IFERROR(__xludf.DUMMYFUNCTION("""COMPUTED_VALUE"""),7.15)</f>
        <v>7.15</v>
      </c>
      <c r="L83" s="24" t="b">
        <v>0</v>
      </c>
    </row>
    <row r="84">
      <c r="A84" s="17">
        <f>IFERROR(__xludf.DUMMYFUNCTION("""COMPUTED_VALUE"""),2.0265083E7)</f>
        <v>20265083</v>
      </c>
      <c r="B84" s="17" t="str">
        <f>IFERROR(__xludf.DUMMYFUNCTION("""COMPUTED_VALUE"""),"Belkis Siebert")</f>
        <v>Belkis Siebert</v>
      </c>
      <c r="C84" s="17" t="b">
        <f>IFERROR(__xludf.DUMMYFUNCTION("""COMPUTED_VALUE"""),TRUE)</f>
        <v>1</v>
      </c>
      <c r="D84" s="18">
        <f>IFERROR(__xludf.DUMMYFUNCTION("""COMPUTED_VALUE"""),1.0)</f>
        <v>1</v>
      </c>
      <c r="E84" s="19">
        <f>IFERROR(__xludf.DUMMYFUNCTION("""COMPUTED_VALUE"""),18050.11)</f>
        <v>18050.11</v>
      </c>
      <c r="F84" s="19">
        <f>IFERROR(__xludf.DUMMYFUNCTION("""COMPUTED_VALUE"""),-17550.11)</f>
        <v>-17550.11</v>
      </c>
      <c r="G84" s="19">
        <f>IFERROR(__xludf.DUMMYFUNCTION("""COMPUTED_VALUE"""),500.0)</f>
        <v>500</v>
      </c>
      <c r="H84" s="19">
        <f>IFERROR(__xludf.DUMMYFUNCTION("""COMPUTED_VALUE"""),500.0)</f>
        <v>500</v>
      </c>
      <c r="I84" s="19">
        <f>IFERROR(__xludf.DUMMYFUNCTION("""COMPUTED_VALUE"""),5.0)</f>
        <v>5</v>
      </c>
      <c r="J84" s="19">
        <f>IFERROR(__xludf.DUMMYFUNCTION("""COMPUTED_VALUE"""),5.0)</f>
        <v>5</v>
      </c>
      <c r="K84" s="19">
        <f>IFERROR(__xludf.DUMMYFUNCTION("""COMPUTED_VALUE"""),0.0)</f>
        <v>0</v>
      </c>
      <c r="L84" s="20" t="b">
        <v>0</v>
      </c>
    </row>
    <row r="85">
      <c r="A85" s="14">
        <f>IFERROR(__xludf.DUMMYFUNCTION("""COMPUTED_VALUE"""),2.0265084E7)</f>
        <v>20265084</v>
      </c>
      <c r="B85" s="14" t="str">
        <f>IFERROR(__xludf.DUMMYFUNCTION("""COMPUTED_VALUE"""),"INS - Gladys Stanley")</f>
        <v>INS - Gladys Stanley</v>
      </c>
      <c r="C85" s="14" t="b">
        <f>IFERROR(__xludf.DUMMYFUNCTION("""COMPUTED_VALUE"""),FALSE)</f>
        <v>0</v>
      </c>
      <c r="D85" s="21" t="str">
        <f>IFERROR(__xludf.DUMMYFUNCTION("""COMPUTED_VALUE"""),"")</f>
        <v/>
      </c>
      <c r="E85" s="15">
        <f>IFERROR(__xludf.DUMMYFUNCTION("""COMPUTED_VALUE"""),0.0)</f>
        <v>0</v>
      </c>
      <c r="F85" s="15">
        <f>IFERROR(__xludf.DUMMYFUNCTION("""COMPUTED_VALUE"""),0.0)</f>
        <v>0</v>
      </c>
      <c r="G85" s="15">
        <f>IFERROR(__xludf.DUMMYFUNCTION("""COMPUTED_VALUE"""),0.0)</f>
        <v>0</v>
      </c>
      <c r="H85" s="15">
        <f>IFERROR(__xludf.DUMMYFUNCTION("""COMPUTED_VALUE"""),0.0)</f>
        <v>0</v>
      </c>
      <c r="I85" s="15">
        <f>IFERROR(__xludf.DUMMYFUNCTION("""COMPUTED_VALUE"""),0.0)</f>
        <v>0</v>
      </c>
      <c r="J85" s="15">
        <f>IFERROR(__xludf.DUMMYFUNCTION("""COMPUTED_VALUE"""),0.0)</f>
        <v>0</v>
      </c>
      <c r="K85" s="15">
        <f>IFERROR(__xludf.DUMMYFUNCTION("""COMPUTED_VALUE"""),0.0)</f>
        <v>0</v>
      </c>
      <c r="L85" s="14" t="b">
        <v>0</v>
      </c>
    </row>
    <row r="86">
      <c r="A86" s="17">
        <f>IFERROR(__xludf.DUMMYFUNCTION("""COMPUTED_VALUE"""),2.0265085E7)</f>
        <v>20265085</v>
      </c>
      <c r="B86" s="17" t="str">
        <f>IFERROR(__xludf.DUMMYFUNCTION("""COMPUTED_VALUE"""),"Linda  Bantner")</f>
        <v>Linda  Bantner</v>
      </c>
      <c r="C86" s="17" t="b">
        <f>IFERROR(__xludf.DUMMYFUNCTION("""COMPUTED_VALUE"""),TRUE)</f>
        <v>1</v>
      </c>
      <c r="D86" s="18">
        <f>IFERROR(__xludf.DUMMYFUNCTION("""COMPUTED_VALUE"""),1.0)</f>
        <v>1</v>
      </c>
      <c r="E86" s="19">
        <f>IFERROR(__xludf.DUMMYFUNCTION("""COMPUTED_VALUE"""),761.25)</f>
        <v>761.25</v>
      </c>
      <c r="F86" s="19">
        <f>IFERROR(__xludf.DUMMYFUNCTION("""COMPUTED_VALUE"""),0.0)</f>
        <v>0</v>
      </c>
      <c r="G86" s="19">
        <f>IFERROR(__xludf.DUMMYFUNCTION("""COMPUTED_VALUE"""),761.25)</f>
        <v>761.25</v>
      </c>
      <c r="H86" s="19">
        <f>IFERROR(__xludf.DUMMYFUNCTION("""COMPUTED_VALUE"""),761.25)</f>
        <v>761.25</v>
      </c>
      <c r="I86" s="19">
        <f>IFERROR(__xludf.DUMMYFUNCTION("""COMPUTED_VALUE"""),7.6125)</f>
        <v>7.6125</v>
      </c>
      <c r="J86" s="19">
        <f>IFERROR(__xludf.DUMMYFUNCTION("""COMPUTED_VALUE"""),7.61)</f>
        <v>7.61</v>
      </c>
      <c r="K86" s="19">
        <f>IFERROR(__xludf.DUMMYFUNCTION("""COMPUTED_VALUE"""),0.0)</f>
        <v>0</v>
      </c>
      <c r="L86" s="20" t="b">
        <v>0</v>
      </c>
    </row>
    <row r="87">
      <c r="A87" s="14">
        <f>IFERROR(__xludf.DUMMYFUNCTION("""COMPUTED_VALUE"""),2.0265086E7)</f>
        <v>20265086</v>
      </c>
      <c r="B87" s="14" t="str">
        <f>IFERROR(__xludf.DUMMYFUNCTION("""COMPUTED_VALUE"""),"Jacob Dereshkevich")</f>
        <v>Jacob Dereshkevich</v>
      </c>
      <c r="C87" s="14" t="b">
        <f>IFERROR(__xludf.DUMMYFUNCTION("""COMPUTED_VALUE"""),FALSE)</f>
        <v>0</v>
      </c>
      <c r="D87" s="21">
        <f>IFERROR(__xludf.DUMMYFUNCTION("""COMPUTED_VALUE"""),0.4339961390540983)</f>
        <v>0.4339961391</v>
      </c>
      <c r="E87" s="15">
        <f>IFERROR(__xludf.DUMMYFUNCTION("""COMPUTED_VALUE"""),3330.79)</f>
        <v>3330.79</v>
      </c>
      <c r="F87" s="15">
        <f>IFERROR(__xludf.DUMMYFUNCTION("""COMPUTED_VALUE"""),0.0)</f>
        <v>0</v>
      </c>
      <c r="G87" s="15">
        <f>IFERROR(__xludf.DUMMYFUNCTION("""COMPUTED_VALUE"""),3330.79)</f>
        <v>3330.79</v>
      </c>
      <c r="H87" s="15">
        <f>IFERROR(__xludf.DUMMYFUNCTION("""COMPUTED_VALUE"""),0.0)</f>
        <v>0</v>
      </c>
      <c r="I87" s="15">
        <f>IFERROR(__xludf.DUMMYFUNCTION("""COMPUTED_VALUE"""),33.307900000000004)</f>
        <v>33.3079</v>
      </c>
      <c r="J87" s="15">
        <f>IFERROR(__xludf.DUMMYFUNCTION("""COMPUTED_VALUE"""),0.0)</f>
        <v>0</v>
      </c>
      <c r="K87" s="15">
        <f>IFERROR(__xludf.DUMMYFUNCTION("""COMPUTED_VALUE"""),0.0)</f>
        <v>0</v>
      </c>
      <c r="L87" s="14" t="b">
        <v>0</v>
      </c>
    </row>
    <row r="88">
      <c r="A88" s="14">
        <f>IFERROR(__xludf.DUMMYFUNCTION("""COMPUTED_VALUE"""),2.0265087E7)</f>
        <v>20265087</v>
      </c>
      <c r="B88" s="14" t="str">
        <f>IFERROR(__xludf.DUMMYFUNCTION("""COMPUTED_VALUE"""),"INS - Heather Brodess")</f>
        <v>INS - Heather Brodess</v>
      </c>
      <c r="C88" s="14" t="b">
        <f>IFERROR(__xludf.DUMMYFUNCTION("""COMPUTED_VALUE"""),FALSE)</f>
        <v>0</v>
      </c>
      <c r="D88" s="21" t="str">
        <f>IFERROR(__xludf.DUMMYFUNCTION("""COMPUTED_VALUE"""),"")</f>
        <v/>
      </c>
      <c r="E88" s="15">
        <f>IFERROR(__xludf.DUMMYFUNCTION("""COMPUTED_VALUE"""),954.97)</f>
        <v>954.97</v>
      </c>
      <c r="F88" s="15">
        <f>IFERROR(__xludf.DUMMYFUNCTION("""COMPUTED_VALUE"""),0.0)</f>
        <v>0</v>
      </c>
      <c r="G88" s="15">
        <f>IFERROR(__xludf.DUMMYFUNCTION("""COMPUTED_VALUE"""),0.0)</f>
        <v>0</v>
      </c>
      <c r="H88" s="15">
        <f>IFERROR(__xludf.DUMMYFUNCTION("""COMPUTED_VALUE"""),0.0)</f>
        <v>0</v>
      </c>
      <c r="I88" s="15">
        <f>IFERROR(__xludf.DUMMYFUNCTION("""COMPUTED_VALUE"""),9.5497)</f>
        <v>9.5497</v>
      </c>
      <c r="J88" s="15">
        <f>IFERROR(__xludf.DUMMYFUNCTION("""COMPUTED_VALUE"""),0.0)</f>
        <v>0</v>
      </c>
      <c r="K88" s="15">
        <f>IFERROR(__xludf.DUMMYFUNCTION("""COMPUTED_VALUE"""),0.0)</f>
        <v>0</v>
      </c>
      <c r="L88" s="14" t="b">
        <v>0</v>
      </c>
    </row>
    <row r="89">
      <c r="A89" s="14">
        <f>IFERROR(__xludf.DUMMYFUNCTION("""COMPUTED_VALUE"""),2.0265088E7)</f>
        <v>20265088</v>
      </c>
      <c r="B89" s="14" t="str">
        <f>IFERROR(__xludf.DUMMYFUNCTION("""COMPUTED_VALUE"""),"INS - Cheryl DeBrosse")</f>
        <v>INS - Cheryl DeBrosse</v>
      </c>
      <c r="C89" s="14" t="b">
        <f>IFERROR(__xludf.DUMMYFUNCTION("""COMPUTED_VALUE"""),FALSE)</f>
        <v>0</v>
      </c>
      <c r="D89" s="21">
        <f>IFERROR(__xludf.DUMMYFUNCTION("""COMPUTED_VALUE"""),1.0)</f>
        <v>1</v>
      </c>
      <c r="E89" s="15">
        <f>IFERROR(__xludf.DUMMYFUNCTION("""COMPUTED_VALUE"""),4204.85)</f>
        <v>4204.85</v>
      </c>
      <c r="F89" s="15">
        <f>IFERROR(__xludf.DUMMYFUNCTION("""COMPUTED_VALUE"""),0.0)</f>
        <v>0</v>
      </c>
      <c r="G89" s="15">
        <f>IFERROR(__xludf.DUMMYFUNCTION("""COMPUTED_VALUE"""),4204.85)</f>
        <v>4204.85</v>
      </c>
      <c r="H89" s="15">
        <f>IFERROR(__xludf.DUMMYFUNCTION("""COMPUTED_VALUE"""),0.0)</f>
        <v>0</v>
      </c>
      <c r="I89" s="15">
        <f>IFERROR(__xludf.DUMMYFUNCTION("""COMPUTED_VALUE"""),42.048500000000004)</f>
        <v>42.0485</v>
      </c>
      <c r="J89" s="15">
        <f>IFERROR(__xludf.DUMMYFUNCTION("""COMPUTED_VALUE"""),0.0)</f>
        <v>0</v>
      </c>
      <c r="K89" s="15">
        <f>IFERROR(__xludf.DUMMYFUNCTION("""COMPUTED_VALUE"""),0.0)</f>
        <v>0</v>
      </c>
      <c r="L89" s="14" t="b">
        <v>0</v>
      </c>
    </row>
    <row r="90">
      <c r="A90" s="17">
        <f>IFERROR(__xludf.DUMMYFUNCTION("""COMPUTED_VALUE"""),2.0265089E7)</f>
        <v>20265089</v>
      </c>
      <c r="B90" s="17" t="str">
        <f>IFERROR(__xludf.DUMMYFUNCTION("""COMPUTED_VALUE"""),"John Cox")</f>
        <v>John Cox</v>
      </c>
      <c r="C90" s="17" t="b">
        <f>IFERROR(__xludf.DUMMYFUNCTION("""COMPUTED_VALUE"""),TRUE)</f>
        <v>1</v>
      </c>
      <c r="D90" s="18">
        <f>IFERROR(__xludf.DUMMYFUNCTION("""COMPUTED_VALUE"""),0.5054008868212547)</f>
        <v>0.5054008868</v>
      </c>
      <c r="E90" s="19">
        <f>IFERROR(__xludf.DUMMYFUNCTION("""COMPUTED_VALUE"""),1375.7)</f>
        <v>1375.7</v>
      </c>
      <c r="F90" s="19">
        <f>IFERROR(__xludf.DUMMYFUNCTION("""COMPUTED_VALUE"""),0.0)</f>
        <v>0</v>
      </c>
      <c r="G90" s="19">
        <f>IFERROR(__xludf.DUMMYFUNCTION("""COMPUTED_VALUE"""),1375.7)</f>
        <v>1375.7</v>
      </c>
      <c r="H90" s="19">
        <f>IFERROR(__xludf.DUMMYFUNCTION("""COMPUTED_VALUE"""),1375.7)</f>
        <v>1375.7</v>
      </c>
      <c r="I90" s="19">
        <f>IFERROR(__xludf.DUMMYFUNCTION("""COMPUTED_VALUE"""),13.757000000000001)</f>
        <v>13.757</v>
      </c>
      <c r="J90" s="19">
        <f>IFERROR(__xludf.DUMMYFUNCTION("""COMPUTED_VALUE"""),13.76)</f>
        <v>13.76</v>
      </c>
      <c r="K90" s="19">
        <f>IFERROR(__xludf.DUMMYFUNCTION("""COMPUTED_VALUE"""),0.0)</f>
        <v>0</v>
      </c>
      <c r="L90" s="20" t="b">
        <v>0</v>
      </c>
    </row>
    <row r="91">
      <c r="A91" s="14">
        <f>IFERROR(__xludf.DUMMYFUNCTION("""COMPUTED_VALUE"""),2.026509E7)</f>
        <v>20265090</v>
      </c>
      <c r="B91" s="14" t="str">
        <f>IFERROR(__xludf.DUMMYFUNCTION("""COMPUTED_VALUE"""),"Charles Shelley")</f>
        <v>Charles Shelley</v>
      </c>
      <c r="C91" s="14" t="b">
        <f>IFERROR(__xludf.DUMMYFUNCTION("""COMPUTED_VALUE"""),FALSE)</f>
        <v>0</v>
      </c>
      <c r="D91" s="21" t="str">
        <f>IFERROR(__xludf.DUMMYFUNCTION("""COMPUTED_VALUE"""),"")</f>
        <v/>
      </c>
      <c r="E91" s="15">
        <f>IFERROR(__xludf.DUMMYFUNCTION("""COMPUTED_VALUE"""),1393.5)</f>
        <v>1393.5</v>
      </c>
      <c r="F91" s="15">
        <f>IFERROR(__xludf.DUMMYFUNCTION("""COMPUTED_VALUE"""),0.0)</f>
        <v>0</v>
      </c>
      <c r="G91" s="15">
        <f>IFERROR(__xludf.DUMMYFUNCTION("""COMPUTED_VALUE"""),0.0)</f>
        <v>0</v>
      </c>
      <c r="H91" s="15">
        <f>IFERROR(__xludf.DUMMYFUNCTION("""COMPUTED_VALUE"""),0.0)</f>
        <v>0</v>
      </c>
      <c r="I91" s="15">
        <f>IFERROR(__xludf.DUMMYFUNCTION("""COMPUTED_VALUE"""),13.935)</f>
        <v>13.935</v>
      </c>
      <c r="J91" s="15">
        <f>IFERROR(__xludf.DUMMYFUNCTION("""COMPUTED_VALUE"""),0.0)</f>
        <v>0</v>
      </c>
      <c r="K91" s="15">
        <f>IFERROR(__xludf.DUMMYFUNCTION("""COMPUTED_VALUE"""),0.0)</f>
        <v>0</v>
      </c>
      <c r="L91" s="14" t="b">
        <v>0</v>
      </c>
    </row>
    <row r="92">
      <c r="A92" s="14">
        <f>IFERROR(__xludf.DUMMYFUNCTION("""COMPUTED_VALUE"""),2.0265091E7)</f>
        <v>20265091</v>
      </c>
      <c r="B92" s="14" t="str">
        <f>IFERROR(__xludf.DUMMYFUNCTION("""COMPUTED_VALUE"""),"Kyle Knoop")</f>
        <v>Kyle Knoop</v>
      </c>
      <c r="C92" s="14" t="b">
        <f>IFERROR(__xludf.DUMMYFUNCTION("""COMPUTED_VALUE"""),FALSE)</f>
        <v>0</v>
      </c>
      <c r="D92" s="21" t="str">
        <f>IFERROR(__xludf.DUMMYFUNCTION("""COMPUTED_VALUE"""),"")</f>
        <v/>
      </c>
      <c r="E92" s="15">
        <f>IFERROR(__xludf.DUMMYFUNCTION("""COMPUTED_VALUE"""),0.0)</f>
        <v>0</v>
      </c>
      <c r="F92" s="15">
        <f>IFERROR(__xludf.DUMMYFUNCTION("""COMPUTED_VALUE"""),0.0)</f>
        <v>0</v>
      </c>
      <c r="G92" s="15">
        <f>IFERROR(__xludf.DUMMYFUNCTION("""COMPUTED_VALUE"""),0.0)</f>
        <v>0</v>
      </c>
      <c r="H92" s="15">
        <f>IFERROR(__xludf.DUMMYFUNCTION("""COMPUTED_VALUE"""),0.0)</f>
        <v>0</v>
      </c>
      <c r="I92" s="15">
        <f>IFERROR(__xludf.DUMMYFUNCTION("""COMPUTED_VALUE"""),0.0)</f>
        <v>0</v>
      </c>
      <c r="J92" s="15">
        <f>IFERROR(__xludf.DUMMYFUNCTION("""COMPUTED_VALUE"""),0.0)</f>
        <v>0</v>
      </c>
      <c r="K92" s="15">
        <f>IFERROR(__xludf.DUMMYFUNCTION("""COMPUTED_VALUE"""),0.0)</f>
        <v>0</v>
      </c>
      <c r="L92" s="14" t="b">
        <v>0</v>
      </c>
    </row>
    <row r="93">
      <c r="A93" s="14">
        <f>IFERROR(__xludf.DUMMYFUNCTION("""COMPUTED_VALUE"""),2.0265092E7)</f>
        <v>20265092</v>
      </c>
      <c r="B93" s="14" t="str">
        <f>IFERROR(__xludf.DUMMYFUNCTION("""COMPUTED_VALUE"""),"Adam Bushmich")</f>
        <v>Adam Bushmich</v>
      </c>
      <c r="C93" s="14" t="b">
        <f>IFERROR(__xludf.DUMMYFUNCTION("""COMPUTED_VALUE"""),FALSE)</f>
        <v>0</v>
      </c>
      <c r="D93" s="21">
        <f>IFERROR(__xludf.DUMMYFUNCTION("""COMPUTED_VALUE"""),0.5942028985507246)</f>
        <v>0.5942028986</v>
      </c>
      <c r="E93" s="15">
        <f>IFERROR(__xludf.DUMMYFUNCTION("""COMPUTED_VALUE"""),690.0)</f>
        <v>690</v>
      </c>
      <c r="F93" s="15">
        <f>IFERROR(__xludf.DUMMYFUNCTION("""COMPUTED_VALUE"""),0.0)</f>
        <v>0</v>
      </c>
      <c r="G93" s="15">
        <f>IFERROR(__xludf.DUMMYFUNCTION("""COMPUTED_VALUE"""),690.0)</f>
        <v>690</v>
      </c>
      <c r="H93" s="15">
        <f>IFERROR(__xludf.DUMMYFUNCTION("""COMPUTED_VALUE"""),0.0)</f>
        <v>0</v>
      </c>
      <c r="I93" s="15">
        <f>IFERROR(__xludf.DUMMYFUNCTION("""COMPUTED_VALUE"""),6.9)</f>
        <v>6.9</v>
      </c>
      <c r="J93" s="15">
        <f>IFERROR(__xludf.DUMMYFUNCTION("""COMPUTED_VALUE"""),0.0)</f>
        <v>0</v>
      </c>
      <c r="K93" s="15">
        <f>IFERROR(__xludf.DUMMYFUNCTION("""COMPUTED_VALUE"""),0.0)</f>
        <v>0</v>
      </c>
      <c r="L93" s="14" t="b">
        <v>0</v>
      </c>
    </row>
    <row r="94">
      <c r="A94" s="14">
        <f>IFERROR(__xludf.DUMMYFUNCTION("""COMPUTED_VALUE"""),2.0265093E7)</f>
        <v>20265093</v>
      </c>
      <c r="B94" s="14" t="str">
        <f>IFERROR(__xludf.DUMMYFUNCTION("""COMPUTED_VALUE"""),"INS - Aaron Hansgen")</f>
        <v>INS - Aaron Hansgen</v>
      </c>
      <c r="C94" s="14" t="b">
        <f>IFERROR(__xludf.DUMMYFUNCTION("""COMPUTED_VALUE"""),FALSE)</f>
        <v>0</v>
      </c>
      <c r="D94" s="21" t="str">
        <f>IFERROR(__xludf.DUMMYFUNCTION("""COMPUTED_VALUE"""),"")</f>
        <v/>
      </c>
      <c r="E94" s="15">
        <f>IFERROR(__xludf.DUMMYFUNCTION("""COMPUTED_VALUE"""),0.0)</f>
        <v>0</v>
      </c>
      <c r="F94" s="15">
        <f>IFERROR(__xludf.DUMMYFUNCTION("""COMPUTED_VALUE"""),0.0)</f>
        <v>0</v>
      </c>
      <c r="G94" s="15">
        <f>IFERROR(__xludf.DUMMYFUNCTION("""COMPUTED_VALUE"""),0.0)</f>
        <v>0</v>
      </c>
      <c r="H94" s="15">
        <f>IFERROR(__xludf.DUMMYFUNCTION("""COMPUTED_VALUE"""),0.0)</f>
        <v>0</v>
      </c>
      <c r="I94" s="15">
        <f>IFERROR(__xludf.DUMMYFUNCTION("""COMPUTED_VALUE"""),0.0)</f>
        <v>0</v>
      </c>
      <c r="J94" s="15">
        <f>IFERROR(__xludf.DUMMYFUNCTION("""COMPUTED_VALUE"""),0.0)</f>
        <v>0</v>
      </c>
      <c r="K94" s="15">
        <f>IFERROR(__xludf.DUMMYFUNCTION("""COMPUTED_VALUE"""),0.0)</f>
        <v>0</v>
      </c>
      <c r="L94" s="14" t="b">
        <v>0</v>
      </c>
    </row>
    <row r="95">
      <c r="A95" s="14">
        <f>IFERROR(__xludf.DUMMYFUNCTION("""COMPUTED_VALUE"""),2.0265094E7)</f>
        <v>20265094</v>
      </c>
      <c r="B95" s="14" t="str">
        <f>IFERROR(__xludf.DUMMYFUNCTION("""COMPUTED_VALUE"""),"INS - Kendal Fritz")</f>
        <v>INS - Kendal Fritz</v>
      </c>
      <c r="C95" s="14" t="b">
        <f>IFERROR(__xludf.DUMMYFUNCTION("""COMPUTED_VALUE"""),FALSE)</f>
        <v>0</v>
      </c>
      <c r="D95" s="21" t="str">
        <f>IFERROR(__xludf.DUMMYFUNCTION("""COMPUTED_VALUE"""),"")</f>
        <v/>
      </c>
      <c r="E95" s="15">
        <f>IFERROR(__xludf.DUMMYFUNCTION("""COMPUTED_VALUE"""),925.75)</f>
        <v>925.75</v>
      </c>
      <c r="F95" s="15">
        <f>IFERROR(__xludf.DUMMYFUNCTION("""COMPUTED_VALUE"""),0.0)</f>
        <v>0</v>
      </c>
      <c r="G95" s="15">
        <f>IFERROR(__xludf.DUMMYFUNCTION("""COMPUTED_VALUE"""),0.0)</f>
        <v>0</v>
      </c>
      <c r="H95" s="15">
        <f>IFERROR(__xludf.DUMMYFUNCTION("""COMPUTED_VALUE"""),0.0)</f>
        <v>0</v>
      </c>
      <c r="I95" s="15">
        <f>IFERROR(__xludf.DUMMYFUNCTION("""COMPUTED_VALUE"""),9.2575)</f>
        <v>9.2575</v>
      </c>
      <c r="J95" s="15">
        <f>IFERROR(__xludf.DUMMYFUNCTION("""COMPUTED_VALUE"""),0.0)</f>
        <v>0</v>
      </c>
      <c r="K95" s="15">
        <f>IFERROR(__xludf.DUMMYFUNCTION("""COMPUTED_VALUE"""),0.0)</f>
        <v>0</v>
      </c>
      <c r="L95" s="14" t="b">
        <v>0</v>
      </c>
    </row>
    <row r="96">
      <c r="A96" s="14">
        <f>IFERROR(__xludf.DUMMYFUNCTION("""COMPUTED_VALUE"""),2.0265095E7)</f>
        <v>20265095</v>
      </c>
      <c r="B96" s="14" t="str">
        <f>IFERROR(__xludf.DUMMYFUNCTION("""COMPUTED_VALUE"""),"Eric Dean")</f>
        <v>Eric Dean</v>
      </c>
      <c r="C96" s="14" t="b">
        <f>IFERROR(__xludf.DUMMYFUNCTION("""COMPUTED_VALUE"""),FALSE)</f>
        <v>0</v>
      </c>
      <c r="D96" s="21" t="str">
        <f>IFERROR(__xludf.DUMMYFUNCTION("""COMPUTED_VALUE"""),"")</f>
        <v/>
      </c>
      <c r="E96" s="15">
        <f>IFERROR(__xludf.DUMMYFUNCTION("""COMPUTED_VALUE"""),7737.05)</f>
        <v>7737.05</v>
      </c>
      <c r="F96" s="15">
        <f>IFERROR(__xludf.DUMMYFUNCTION("""COMPUTED_VALUE"""),0.0)</f>
        <v>0</v>
      </c>
      <c r="G96" s="15">
        <f>IFERROR(__xludf.DUMMYFUNCTION("""COMPUTED_VALUE"""),0.0)</f>
        <v>0</v>
      </c>
      <c r="H96" s="15">
        <f>IFERROR(__xludf.DUMMYFUNCTION("""COMPUTED_VALUE"""),0.0)</f>
        <v>0</v>
      </c>
      <c r="I96" s="15">
        <f>IFERROR(__xludf.DUMMYFUNCTION("""COMPUTED_VALUE"""),77.3705)</f>
        <v>77.3705</v>
      </c>
      <c r="J96" s="15">
        <f>IFERROR(__xludf.DUMMYFUNCTION("""COMPUTED_VALUE"""),0.0)</f>
        <v>0</v>
      </c>
      <c r="K96" s="15">
        <f>IFERROR(__xludf.DUMMYFUNCTION("""COMPUTED_VALUE"""),0.0)</f>
        <v>0</v>
      </c>
      <c r="L96" s="14" t="b">
        <v>0</v>
      </c>
    </row>
    <row r="97">
      <c r="A97" s="14">
        <f>IFERROR(__xludf.DUMMYFUNCTION("""COMPUTED_VALUE"""),2.0265096E7)</f>
        <v>20265096</v>
      </c>
      <c r="B97" s="14" t="str">
        <f>IFERROR(__xludf.DUMMYFUNCTION("""COMPUTED_VALUE"""),"Derick Cruea")</f>
        <v>Derick Cruea</v>
      </c>
      <c r="C97" s="14" t="b">
        <f>IFERROR(__xludf.DUMMYFUNCTION("""COMPUTED_VALUE"""),FALSE)</f>
        <v>0</v>
      </c>
      <c r="D97" s="21">
        <f>IFERROR(__xludf.DUMMYFUNCTION("""COMPUTED_VALUE"""),1.0)</f>
        <v>1</v>
      </c>
      <c r="E97" s="15">
        <f>IFERROR(__xludf.DUMMYFUNCTION("""COMPUTED_VALUE"""),1278.13)</f>
        <v>1278.13</v>
      </c>
      <c r="F97" s="15">
        <f>IFERROR(__xludf.DUMMYFUNCTION("""COMPUTED_VALUE"""),0.0)</f>
        <v>0</v>
      </c>
      <c r="G97" s="15">
        <f>IFERROR(__xludf.DUMMYFUNCTION("""COMPUTED_VALUE"""),1278.13)</f>
        <v>1278.13</v>
      </c>
      <c r="H97" s="15">
        <f>IFERROR(__xludf.DUMMYFUNCTION("""COMPUTED_VALUE"""),0.0)</f>
        <v>0</v>
      </c>
      <c r="I97" s="15">
        <f>IFERROR(__xludf.DUMMYFUNCTION("""COMPUTED_VALUE"""),12.781300000000002)</f>
        <v>12.7813</v>
      </c>
      <c r="J97" s="15">
        <f>IFERROR(__xludf.DUMMYFUNCTION("""COMPUTED_VALUE"""),0.0)</f>
        <v>0</v>
      </c>
      <c r="K97" s="15">
        <f>IFERROR(__xludf.DUMMYFUNCTION("""COMPUTED_VALUE"""),0.0)</f>
        <v>0</v>
      </c>
      <c r="L97" s="14" t="b">
        <v>0</v>
      </c>
    </row>
    <row r="98">
      <c r="A98" s="14">
        <f>IFERROR(__xludf.DUMMYFUNCTION("""COMPUTED_VALUE"""),2.0265097E7)</f>
        <v>20265097</v>
      </c>
      <c r="B98" s="14" t="str">
        <f>IFERROR(__xludf.DUMMYFUNCTION("""COMPUTED_VALUE"""),"Michelle Perry")</f>
        <v>Michelle Perry</v>
      </c>
      <c r="C98" s="14" t="b">
        <f>IFERROR(__xludf.DUMMYFUNCTION("""COMPUTED_VALUE"""),FALSE)</f>
        <v>0</v>
      </c>
      <c r="D98" s="21" t="str">
        <f>IFERROR(__xludf.DUMMYFUNCTION("""COMPUTED_VALUE"""),"")</f>
        <v/>
      </c>
      <c r="E98" s="15">
        <f>IFERROR(__xludf.DUMMYFUNCTION("""COMPUTED_VALUE"""),976.25)</f>
        <v>976.25</v>
      </c>
      <c r="F98" s="15">
        <f>IFERROR(__xludf.DUMMYFUNCTION("""COMPUTED_VALUE"""),0.0)</f>
        <v>0</v>
      </c>
      <c r="G98" s="15">
        <f>IFERROR(__xludf.DUMMYFUNCTION("""COMPUTED_VALUE"""),0.0)</f>
        <v>0</v>
      </c>
      <c r="H98" s="15">
        <f>IFERROR(__xludf.DUMMYFUNCTION("""COMPUTED_VALUE"""),0.0)</f>
        <v>0</v>
      </c>
      <c r="I98" s="15">
        <f>IFERROR(__xludf.DUMMYFUNCTION("""COMPUTED_VALUE"""),9.762500000000001)</f>
        <v>9.7625</v>
      </c>
      <c r="J98" s="15">
        <f>IFERROR(__xludf.DUMMYFUNCTION("""COMPUTED_VALUE"""),0.0)</f>
        <v>0</v>
      </c>
      <c r="K98" s="15">
        <f>IFERROR(__xludf.DUMMYFUNCTION("""COMPUTED_VALUE"""),0.0)</f>
        <v>0</v>
      </c>
      <c r="L98" s="14" t="b">
        <v>0</v>
      </c>
    </row>
    <row r="99">
      <c r="A99" s="14">
        <f>IFERROR(__xludf.DUMMYFUNCTION("""COMPUTED_VALUE"""),2.0265098E7)</f>
        <v>20265098</v>
      </c>
      <c r="B99" s="14" t="str">
        <f>IFERROR(__xludf.DUMMYFUNCTION("""COMPUTED_VALUE"""),"Dave Nelson")</f>
        <v>Dave Nelson</v>
      </c>
      <c r="C99" s="14" t="b">
        <f>IFERROR(__xludf.DUMMYFUNCTION("""COMPUTED_VALUE"""),FALSE)</f>
        <v>0</v>
      </c>
      <c r="D99" s="21">
        <f>IFERROR(__xludf.DUMMYFUNCTION("""COMPUTED_VALUE"""),1.0)</f>
        <v>1</v>
      </c>
      <c r="E99" s="15">
        <f>IFERROR(__xludf.DUMMYFUNCTION("""COMPUTED_VALUE"""),25136.83)</f>
        <v>25136.83</v>
      </c>
      <c r="F99" s="15">
        <f>IFERROR(__xludf.DUMMYFUNCTION("""COMPUTED_VALUE"""),0.0)</f>
        <v>0</v>
      </c>
      <c r="G99" s="15">
        <f>IFERROR(__xludf.DUMMYFUNCTION("""COMPUTED_VALUE"""),25136.83)</f>
        <v>25136.83</v>
      </c>
      <c r="H99" s="15">
        <f>IFERROR(__xludf.DUMMYFUNCTION("""COMPUTED_VALUE"""),0.0)</f>
        <v>0</v>
      </c>
      <c r="I99" s="15">
        <f>IFERROR(__xludf.DUMMYFUNCTION("""COMPUTED_VALUE"""),251.36830000000003)</f>
        <v>251.3683</v>
      </c>
      <c r="J99" s="15">
        <f>IFERROR(__xludf.DUMMYFUNCTION("""COMPUTED_VALUE"""),0.0)</f>
        <v>0</v>
      </c>
      <c r="K99" s="15">
        <f>IFERROR(__xludf.DUMMYFUNCTION("""COMPUTED_VALUE"""),0.0)</f>
        <v>0</v>
      </c>
      <c r="L99" s="14" t="b">
        <v>0</v>
      </c>
    </row>
    <row r="100">
      <c r="A100" s="24">
        <f>IFERROR(__xludf.DUMMYFUNCTION("""COMPUTED_VALUE"""),2.0265099E7)</f>
        <v>20265099</v>
      </c>
      <c r="B100" s="24" t="str">
        <f>IFERROR(__xludf.DUMMYFUNCTION("""COMPUTED_VALUE"""),"Braden Clark")</f>
        <v>Braden Clark</v>
      </c>
      <c r="C100" s="24" t="b">
        <f>IFERROR(__xludf.DUMMYFUNCTION("""COMPUTED_VALUE"""),TRUE)</f>
        <v>1</v>
      </c>
      <c r="D100" s="25">
        <f>IFERROR(__xludf.DUMMYFUNCTION("""COMPUTED_VALUE"""),0.9796713476822912)</f>
        <v>0.9796713477</v>
      </c>
      <c r="E100" s="26">
        <f>IFERROR(__xludf.DUMMYFUNCTION("""COMPUTED_VALUE"""),577.51)</f>
        <v>577.51</v>
      </c>
      <c r="F100" s="26">
        <f>IFERROR(__xludf.DUMMYFUNCTION("""COMPUTED_VALUE"""),0.0)</f>
        <v>0</v>
      </c>
      <c r="G100" s="26">
        <f>IFERROR(__xludf.DUMMYFUNCTION("""COMPUTED_VALUE"""),577.51)</f>
        <v>577.51</v>
      </c>
      <c r="H100" s="26">
        <f>IFERROR(__xludf.DUMMYFUNCTION("""COMPUTED_VALUE"""),577.51)</f>
        <v>577.51</v>
      </c>
      <c r="I100" s="26">
        <f>IFERROR(__xludf.DUMMYFUNCTION("""COMPUTED_VALUE"""),5.7751)</f>
        <v>5.7751</v>
      </c>
      <c r="J100" s="26">
        <f>IFERROR(__xludf.DUMMYFUNCTION("""COMPUTED_VALUE"""),0.0)</f>
        <v>0</v>
      </c>
      <c r="K100" s="26">
        <f>IFERROR(__xludf.DUMMYFUNCTION("""COMPUTED_VALUE"""),5.78)</f>
        <v>5.78</v>
      </c>
      <c r="L100" s="24" t="b">
        <v>0</v>
      </c>
    </row>
    <row r="101">
      <c r="A101" s="14">
        <f>IFERROR(__xludf.DUMMYFUNCTION("""COMPUTED_VALUE"""),2.02651E7)</f>
        <v>20265100</v>
      </c>
      <c r="B101" s="14" t="str">
        <f>IFERROR(__xludf.DUMMYFUNCTION("""COMPUTED_VALUE"""),"Dan Hensley")</f>
        <v>Dan Hensley</v>
      </c>
      <c r="C101" s="14" t="b">
        <f>IFERROR(__xludf.DUMMYFUNCTION("""COMPUTED_VALUE"""),FALSE)</f>
        <v>0</v>
      </c>
      <c r="D101" s="21">
        <f>IFERROR(__xludf.DUMMYFUNCTION("""COMPUTED_VALUE"""),1.0)</f>
        <v>1</v>
      </c>
      <c r="E101" s="15">
        <f>IFERROR(__xludf.DUMMYFUNCTION("""COMPUTED_VALUE"""),893.5)</f>
        <v>893.5</v>
      </c>
      <c r="F101" s="15">
        <f>IFERROR(__xludf.DUMMYFUNCTION("""COMPUTED_VALUE"""),0.0)</f>
        <v>0</v>
      </c>
      <c r="G101" s="15">
        <f>IFERROR(__xludf.DUMMYFUNCTION("""COMPUTED_VALUE"""),893.5)</f>
        <v>893.5</v>
      </c>
      <c r="H101" s="15">
        <f>IFERROR(__xludf.DUMMYFUNCTION("""COMPUTED_VALUE"""),0.0)</f>
        <v>0</v>
      </c>
      <c r="I101" s="15">
        <f>IFERROR(__xludf.DUMMYFUNCTION("""COMPUTED_VALUE"""),8.935)</f>
        <v>8.935</v>
      </c>
      <c r="J101" s="15">
        <f>IFERROR(__xludf.DUMMYFUNCTION("""COMPUTED_VALUE"""),0.0)</f>
        <v>0</v>
      </c>
      <c r="K101" s="15">
        <f>IFERROR(__xludf.DUMMYFUNCTION("""COMPUTED_VALUE"""),0.0)</f>
        <v>0</v>
      </c>
      <c r="L101" s="14" t="b">
        <v>0</v>
      </c>
    </row>
    <row r="102">
      <c r="A102" s="14">
        <f>IFERROR(__xludf.DUMMYFUNCTION("""COMPUTED_VALUE"""),2.0265101E7)</f>
        <v>20265101</v>
      </c>
      <c r="B102" s="14" t="str">
        <f>IFERROR(__xludf.DUMMYFUNCTION("""COMPUTED_VALUE"""),"Patricia Kesling")</f>
        <v>Patricia Kesling</v>
      </c>
      <c r="C102" s="14" t="b">
        <f>IFERROR(__xludf.DUMMYFUNCTION("""COMPUTED_VALUE"""),FALSE)</f>
        <v>0</v>
      </c>
      <c r="D102" s="21" t="str">
        <f>IFERROR(__xludf.DUMMYFUNCTION("""COMPUTED_VALUE"""),"")</f>
        <v/>
      </c>
      <c r="E102" s="15">
        <f>IFERROR(__xludf.DUMMYFUNCTION("""COMPUTED_VALUE"""),0.0)</f>
        <v>0</v>
      </c>
      <c r="F102" s="15">
        <f>IFERROR(__xludf.DUMMYFUNCTION("""COMPUTED_VALUE"""),0.0)</f>
        <v>0</v>
      </c>
      <c r="G102" s="15">
        <f>IFERROR(__xludf.DUMMYFUNCTION("""COMPUTED_VALUE"""),0.0)</f>
        <v>0</v>
      </c>
      <c r="H102" s="15">
        <f>IFERROR(__xludf.DUMMYFUNCTION("""COMPUTED_VALUE"""),0.0)</f>
        <v>0</v>
      </c>
      <c r="I102" s="15">
        <f>IFERROR(__xludf.DUMMYFUNCTION("""COMPUTED_VALUE"""),0.0)</f>
        <v>0</v>
      </c>
      <c r="J102" s="15">
        <f>IFERROR(__xludf.DUMMYFUNCTION("""COMPUTED_VALUE"""),0.0)</f>
        <v>0</v>
      </c>
      <c r="K102" s="15">
        <f>IFERROR(__xludf.DUMMYFUNCTION("""COMPUTED_VALUE"""),0.0)</f>
        <v>0</v>
      </c>
      <c r="L102" s="14" t="b">
        <v>0</v>
      </c>
    </row>
    <row r="103">
      <c r="A103" s="14">
        <f>IFERROR(__xludf.DUMMYFUNCTION("""COMPUTED_VALUE"""),2.0265102E7)</f>
        <v>20265102</v>
      </c>
      <c r="B103" s="14" t="str">
        <f>IFERROR(__xludf.DUMMYFUNCTION("""COMPUTED_VALUE"""),"INS - Dave Haller")</f>
        <v>INS - Dave Haller</v>
      </c>
      <c r="C103" s="14" t="b">
        <f>IFERROR(__xludf.DUMMYFUNCTION("""COMPUTED_VALUE"""),FALSE)</f>
        <v>0</v>
      </c>
      <c r="D103" s="21" t="str">
        <f>IFERROR(__xludf.DUMMYFUNCTION("""COMPUTED_VALUE"""),"")</f>
        <v/>
      </c>
      <c r="E103" s="15">
        <f>IFERROR(__xludf.DUMMYFUNCTION("""COMPUTED_VALUE"""),0.0)</f>
        <v>0</v>
      </c>
      <c r="F103" s="15">
        <f>IFERROR(__xludf.DUMMYFUNCTION("""COMPUTED_VALUE"""),0.0)</f>
        <v>0</v>
      </c>
      <c r="G103" s="15">
        <f>IFERROR(__xludf.DUMMYFUNCTION("""COMPUTED_VALUE"""),0.0)</f>
        <v>0</v>
      </c>
      <c r="H103" s="15">
        <f>IFERROR(__xludf.DUMMYFUNCTION("""COMPUTED_VALUE"""),0.0)</f>
        <v>0</v>
      </c>
      <c r="I103" s="15">
        <f>IFERROR(__xludf.DUMMYFUNCTION("""COMPUTED_VALUE"""),0.0)</f>
        <v>0</v>
      </c>
      <c r="J103" s="15">
        <f>IFERROR(__xludf.DUMMYFUNCTION("""COMPUTED_VALUE"""),0.0)</f>
        <v>0</v>
      </c>
      <c r="K103" s="15">
        <f>IFERROR(__xludf.DUMMYFUNCTION("""COMPUTED_VALUE"""),0.0)</f>
        <v>0</v>
      </c>
      <c r="L103" s="14" t="b">
        <v>0</v>
      </c>
    </row>
    <row r="104">
      <c r="A104" s="14">
        <f>IFERROR(__xludf.DUMMYFUNCTION("""COMPUTED_VALUE"""),2.0265103E7)</f>
        <v>20265103</v>
      </c>
      <c r="B104" s="14" t="str">
        <f>IFERROR(__xludf.DUMMYFUNCTION("""COMPUTED_VALUE"""),"INS - Riley Braun")</f>
        <v>INS - Riley Braun</v>
      </c>
      <c r="C104" s="14" t="b">
        <f>IFERROR(__xludf.DUMMYFUNCTION("""COMPUTED_VALUE"""),FALSE)</f>
        <v>0</v>
      </c>
      <c r="D104" s="21" t="str">
        <f>IFERROR(__xludf.DUMMYFUNCTION("""COMPUTED_VALUE"""),"")</f>
        <v/>
      </c>
      <c r="E104" s="15">
        <f>IFERROR(__xludf.DUMMYFUNCTION("""COMPUTED_VALUE"""),0.0)</f>
        <v>0</v>
      </c>
      <c r="F104" s="15">
        <f>IFERROR(__xludf.DUMMYFUNCTION("""COMPUTED_VALUE"""),0.0)</f>
        <v>0</v>
      </c>
      <c r="G104" s="15">
        <f>IFERROR(__xludf.DUMMYFUNCTION("""COMPUTED_VALUE"""),0.0)</f>
        <v>0</v>
      </c>
      <c r="H104" s="15">
        <f>IFERROR(__xludf.DUMMYFUNCTION("""COMPUTED_VALUE"""),0.0)</f>
        <v>0</v>
      </c>
      <c r="I104" s="15">
        <f>IFERROR(__xludf.DUMMYFUNCTION("""COMPUTED_VALUE"""),0.0)</f>
        <v>0</v>
      </c>
      <c r="J104" s="15">
        <f>IFERROR(__xludf.DUMMYFUNCTION("""COMPUTED_VALUE"""),0.0)</f>
        <v>0</v>
      </c>
      <c r="K104" s="15">
        <f>IFERROR(__xludf.DUMMYFUNCTION("""COMPUTED_VALUE"""),0.0)</f>
        <v>0</v>
      </c>
      <c r="L104" s="14" t="b">
        <v>0</v>
      </c>
    </row>
    <row r="105">
      <c r="A105" s="14">
        <f>IFERROR(__xludf.DUMMYFUNCTION("""COMPUTED_VALUE"""),2.0265104E7)</f>
        <v>20265104</v>
      </c>
      <c r="B105" s="14" t="str">
        <f>IFERROR(__xludf.DUMMYFUNCTION("""COMPUTED_VALUE"""),"INS - Jim Steinman")</f>
        <v>INS - Jim Steinman</v>
      </c>
      <c r="C105" s="14" t="b">
        <f>IFERROR(__xludf.DUMMYFUNCTION("""COMPUTED_VALUE"""),FALSE)</f>
        <v>0</v>
      </c>
      <c r="D105" s="21" t="str">
        <f>IFERROR(__xludf.DUMMYFUNCTION("""COMPUTED_VALUE"""),"")</f>
        <v/>
      </c>
      <c r="E105" s="15">
        <f>IFERROR(__xludf.DUMMYFUNCTION("""COMPUTED_VALUE"""),0.0)</f>
        <v>0</v>
      </c>
      <c r="F105" s="15">
        <f>IFERROR(__xludf.DUMMYFUNCTION("""COMPUTED_VALUE"""),0.0)</f>
        <v>0</v>
      </c>
      <c r="G105" s="15">
        <f>IFERROR(__xludf.DUMMYFUNCTION("""COMPUTED_VALUE"""),0.0)</f>
        <v>0</v>
      </c>
      <c r="H105" s="15">
        <f>IFERROR(__xludf.DUMMYFUNCTION("""COMPUTED_VALUE"""),0.0)</f>
        <v>0</v>
      </c>
      <c r="I105" s="15">
        <f>IFERROR(__xludf.DUMMYFUNCTION("""COMPUTED_VALUE"""),0.0)</f>
        <v>0</v>
      </c>
      <c r="J105" s="15">
        <f>IFERROR(__xludf.DUMMYFUNCTION("""COMPUTED_VALUE"""),0.0)</f>
        <v>0</v>
      </c>
      <c r="K105" s="15">
        <f>IFERROR(__xludf.DUMMYFUNCTION("""COMPUTED_VALUE"""),0.0)</f>
        <v>0</v>
      </c>
      <c r="L105" s="14" t="b">
        <v>0</v>
      </c>
    </row>
    <row r="106">
      <c r="A106" s="14">
        <f>IFERROR(__xludf.DUMMYFUNCTION("""COMPUTED_VALUE"""),2.0265105E7)</f>
        <v>20265105</v>
      </c>
      <c r="B106" s="14" t="str">
        <f>IFERROR(__xludf.DUMMYFUNCTION("""COMPUTED_VALUE"""),"Jeff Schroeder")</f>
        <v>Jeff Schroeder</v>
      </c>
      <c r="C106" s="14" t="b">
        <f>IFERROR(__xludf.DUMMYFUNCTION("""COMPUTED_VALUE"""),FALSE)</f>
        <v>0</v>
      </c>
      <c r="D106" s="21" t="str">
        <f>IFERROR(__xludf.DUMMYFUNCTION("""COMPUTED_VALUE"""),"")</f>
        <v/>
      </c>
      <c r="E106" s="15">
        <f>IFERROR(__xludf.DUMMYFUNCTION("""COMPUTED_VALUE"""),689.38)</f>
        <v>689.38</v>
      </c>
      <c r="F106" s="15">
        <f>IFERROR(__xludf.DUMMYFUNCTION("""COMPUTED_VALUE"""),0.0)</f>
        <v>0</v>
      </c>
      <c r="G106" s="15">
        <f>IFERROR(__xludf.DUMMYFUNCTION("""COMPUTED_VALUE"""),0.0)</f>
        <v>0</v>
      </c>
      <c r="H106" s="15">
        <f>IFERROR(__xludf.DUMMYFUNCTION("""COMPUTED_VALUE"""),0.0)</f>
        <v>0</v>
      </c>
      <c r="I106" s="15">
        <f>IFERROR(__xludf.DUMMYFUNCTION("""COMPUTED_VALUE"""),6.8938)</f>
        <v>6.8938</v>
      </c>
      <c r="J106" s="15">
        <f>IFERROR(__xludf.DUMMYFUNCTION("""COMPUTED_VALUE"""),0.0)</f>
        <v>0</v>
      </c>
      <c r="K106" s="15">
        <f>IFERROR(__xludf.DUMMYFUNCTION("""COMPUTED_VALUE"""),0.0)</f>
        <v>0</v>
      </c>
      <c r="L106" s="14" t="b">
        <v>0</v>
      </c>
    </row>
    <row r="107">
      <c r="A107" s="14">
        <f>IFERROR(__xludf.DUMMYFUNCTION("""COMPUTED_VALUE"""),2.0265106E7)</f>
        <v>20265106</v>
      </c>
      <c r="B107" s="14" t="str">
        <f>IFERROR(__xludf.DUMMYFUNCTION("""COMPUTED_VALUE"""),"Mark Ecton ")</f>
        <v>Mark Ecton </v>
      </c>
      <c r="C107" s="14" t="b">
        <f>IFERROR(__xludf.DUMMYFUNCTION("""COMPUTED_VALUE"""),FALSE)</f>
        <v>0</v>
      </c>
      <c r="D107" s="21" t="str">
        <f>IFERROR(__xludf.DUMMYFUNCTION("""COMPUTED_VALUE"""),"")</f>
        <v/>
      </c>
      <c r="E107" s="15">
        <f>IFERROR(__xludf.DUMMYFUNCTION("""COMPUTED_VALUE"""),593.0)</f>
        <v>593</v>
      </c>
      <c r="F107" s="15">
        <f>IFERROR(__xludf.DUMMYFUNCTION("""COMPUTED_VALUE"""),0.0)</f>
        <v>0</v>
      </c>
      <c r="G107" s="15">
        <f>IFERROR(__xludf.DUMMYFUNCTION("""COMPUTED_VALUE"""),0.0)</f>
        <v>0</v>
      </c>
      <c r="H107" s="15">
        <f>IFERROR(__xludf.DUMMYFUNCTION("""COMPUTED_VALUE"""),0.0)</f>
        <v>0</v>
      </c>
      <c r="I107" s="15">
        <f>IFERROR(__xludf.DUMMYFUNCTION("""COMPUTED_VALUE"""),5.93)</f>
        <v>5.93</v>
      </c>
      <c r="J107" s="15">
        <f>IFERROR(__xludf.DUMMYFUNCTION("""COMPUTED_VALUE"""),0.0)</f>
        <v>0</v>
      </c>
      <c r="K107" s="15">
        <f>IFERROR(__xludf.DUMMYFUNCTION("""COMPUTED_VALUE"""),0.0)</f>
        <v>0</v>
      </c>
      <c r="L107" s="14" t="b">
        <v>0</v>
      </c>
    </row>
    <row r="108">
      <c r="A108" s="14">
        <f>IFERROR(__xludf.DUMMYFUNCTION("""COMPUTED_VALUE"""),2.0265107E7)</f>
        <v>20265107</v>
      </c>
      <c r="B108" s="14" t="str">
        <f>IFERROR(__xludf.DUMMYFUNCTION("""COMPUTED_VALUE"""),"Keith  Basil")</f>
        <v>Keith  Basil</v>
      </c>
      <c r="C108" s="14" t="b">
        <f>IFERROR(__xludf.DUMMYFUNCTION("""COMPUTED_VALUE"""),FALSE)</f>
        <v>0</v>
      </c>
      <c r="D108" s="21" t="str">
        <f>IFERROR(__xludf.DUMMYFUNCTION("""COMPUTED_VALUE"""),"")</f>
        <v/>
      </c>
      <c r="E108" s="15">
        <f>IFERROR(__xludf.DUMMYFUNCTION("""COMPUTED_VALUE"""),0.0)</f>
        <v>0</v>
      </c>
      <c r="F108" s="15">
        <f>IFERROR(__xludf.DUMMYFUNCTION("""COMPUTED_VALUE"""),0.0)</f>
        <v>0</v>
      </c>
      <c r="G108" s="15">
        <f>IFERROR(__xludf.DUMMYFUNCTION("""COMPUTED_VALUE"""),0.0)</f>
        <v>0</v>
      </c>
      <c r="H108" s="15">
        <f>IFERROR(__xludf.DUMMYFUNCTION("""COMPUTED_VALUE"""),0.0)</f>
        <v>0</v>
      </c>
      <c r="I108" s="15">
        <f>IFERROR(__xludf.DUMMYFUNCTION("""COMPUTED_VALUE"""),0.0)</f>
        <v>0</v>
      </c>
      <c r="J108" s="15">
        <f>IFERROR(__xludf.DUMMYFUNCTION("""COMPUTED_VALUE"""),0.0)</f>
        <v>0</v>
      </c>
      <c r="K108" s="15">
        <f>IFERROR(__xludf.DUMMYFUNCTION("""COMPUTED_VALUE"""),0.0)</f>
        <v>0</v>
      </c>
      <c r="L108" s="14" t="b">
        <v>0</v>
      </c>
    </row>
    <row r="109">
      <c r="A109" s="14">
        <f>IFERROR(__xludf.DUMMYFUNCTION("""COMPUTED_VALUE"""),2.0265108E7)</f>
        <v>20265108</v>
      </c>
      <c r="B109" s="14" t="str">
        <f>IFERROR(__xludf.DUMMYFUNCTION("""COMPUTED_VALUE"""),"Jenn Karnehm")</f>
        <v>Jenn Karnehm</v>
      </c>
      <c r="C109" s="14" t="b">
        <f>IFERROR(__xludf.DUMMYFUNCTION("""COMPUTED_VALUE"""),FALSE)</f>
        <v>0</v>
      </c>
      <c r="D109" s="21" t="str">
        <f>IFERROR(__xludf.DUMMYFUNCTION("""COMPUTED_VALUE"""),"")</f>
        <v/>
      </c>
      <c r="E109" s="15">
        <f>IFERROR(__xludf.DUMMYFUNCTION("""COMPUTED_VALUE"""),654.55)</f>
        <v>654.55</v>
      </c>
      <c r="F109" s="15">
        <f>IFERROR(__xludf.DUMMYFUNCTION("""COMPUTED_VALUE"""),0.0)</f>
        <v>0</v>
      </c>
      <c r="G109" s="15">
        <f>IFERROR(__xludf.DUMMYFUNCTION("""COMPUTED_VALUE"""),0.0)</f>
        <v>0</v>
      </c>
      <c r="H109" s="15">
        <f>IFERROR(__xludf.DUMMYFUNCTION("""COMPUTED_VALUE"""),0.0)</f>
        <v>0</v>
      </c>
      <c r="I109" s="15">
        <f>IFERROR(__xludf.DUMMYFUNCTION("""COMPUTED_VALUE"""),6.5455)</f>
        <v>6.5455</v>
      </c>
      <c r="J109" s="15">
        <f>IFERROR(__xludf.DUMMYFUNCTION("""COMPUTED_VALUE"""),0.0)</f>
        <v>0</v>
      </c>
      <c r="K109" s="15">
        <f>IFERROR(__xludf.DUMMYFUNCTION("""COMPUTED_VALUE"""),0.0)</f>
        <v>0</v>
      </c>
      <c r="L109" s="14" t="b">
        <v>0</v>
      </c>
    </row>
    <row r="110">
      <c r="A110" s="14">
        <f>IFERROR(__xludf.DUMMYFUNCTION("""COMPUTED_VALUE"""),2.0265109E7)</f>
        <v>20265109</v>
      </c>
      <c r="B110" s="14" t="str">
        <f>IFERROR(__xludf.DUMMYFUNCTION("""COMPUTED_VALUE"""),"David Young")</f>
        <v>David Young</v>
      </c>
      <c r="C110" s="14" t="b">
        <f>IFERROR(__xludf.DUMMYFUNCTION("""COMPUTED_VALUE"""),FALSE)</f>
        <v>0</v>
      </c>
      <c r="D110" s="21" t="str">
        <f>IFERROR(__xludf.DUMMYFUNCTION("""COMPUTED_VALUE"""),"")</f>
        <v/>
      </c>
      <c r="E110" s="15">
        <f>IFERROR(__xludf.DUMMYFUNCTION("""COMPUTED_VALUE"""),591.35)</f>
        <v>591.35</v>
      </c>
      <c r="F110" s="15">
        <f>IFERROR(__xludf.DUMMYFUNCTION("""COMPUTED_VALUE"""),0.0)</f>
        <v>0</v>
      </c>
      <c r="G110" s="15">
        <f>IFERROR(__xludf.DUMMYFUNCTION("""COMPUTED_VALUE"""),0.0)</f>
        <v>0</v>
      </c>
      <c r="H110" s="15">
        <f>IFERROR(__xludf.DUMMYFUNCTION("""COMPUTED_VALUE"""),0.0)</f>
        <v>0</v>
      </c>
      <c r="I110" s="15">
        <f>IFERROR(__xludf.DUMMYFUNCTION("""COMPUTED_VALUE"""),5.9135)</f>
        <v>5.9135</v>
      </c>
      <c r="J110" s="15">
        <f>IFERROR(__xludf.DUMMYFUNCTION("""COMPUTED_VALUE"""),0.0)</f>
        <v>0</v>
      </c>
      <c r="K110" s="15">
        <f>IFERROR(__xludf.DUMMYFUNCTION("""COMPUTED_VALUE"""),0.0)</f>
        <v>0</v>
      </c>
      <c r="L110" s="14" t="b">
        <v>0</v>
      </c>
    </row>
    <row r="111">
      <c r="A111" s="14">
        <f>IFERROR(__xludf.DUMMYFUNCTION("""COMPUTED_VALUE"""),2.026511E7)</f>
        <v>20265110</v>
      </c>
      <c r="B111" s="14" t="str">
        <f>IFERROR(__xludf.DUMMYFUNCTION("""COMPUTED_VALUE"""),"INS - Lynn Bower")</f>
        <v>INS - Lynn Bower</v>
      </c>
      <c r="C111" s="14" t="b">
        <f>IFERROR(__xludf.DUMMYFUNCTION("""COMPUTED_VALUE"""),FALSE)</f>
        <v>0</v>
      </c>
      <c r="D111" s="21" t="str">
        <f>IFERROR(__xludf.DUMMYFUNCTION("""COMPUTED_VALUE"""),"")</f>
        <v/>
      </c>
      <c r="E111" s="15">
        <f>IFERROR(__xludf.DUMMYFUNCTION("""COMPUTED_VALUE"""),812.19)</f>
        <v>812.19</v>
      </c>
      <c r="F111" s="15">
        <f>IFERROR(__xludf.DUMMYFUNCTION("""COMPUTED_VALUE"""),0.0)</f>
        <v>0</v>
      </c>
      <c r="G111" s="15">
        <f>IFERROR(__xludf.DUMMYFUNCTION("""COMPUTED_VALUE"""),0.0)</f>
        <v>0</v>
      </c>
      <c r="H111" s="15">
        <f>IFERROR(__xludf.DUMMYFUNCTION("""COMPUTED_VALUE"""),0.0)</f>
        <v>0</v>
      </c>
      <c r="I111" s="15">
        <f>IFERROR(__xludf.DUMMYFUNCTION("""COMPUTED_VALUE"""),8.1219)</f>
        <v>8.1219</v>
      </c>
      <c r="J111" s="15">
        <f>IFERROR(__xludf.DUMMYFUNCTION("""COMPUTED_VALUE"""),0.0)</f>
        <v>0</v>
      </c>
      <c r="K111" s="15">
        <f>IFERROR(__xludf.DUMMYFUNCTION("""COMPUTED_VALUE"""),0.0)</f>
        <v>0</v>
      </c>
      <c r="L111" s="14" t="b">
        <v>0</v>
      </c>
    </row>
    <row r="112">
      <c r="A112" s="14">
        <f>IFERROR(__xludf.DUMMYFUNCTION("""COMPUTED_VALUE"""),2.0265111E7)</f>
        <v>20265111</v>
      </c>
      <c r="B112" s="14" t="str">
        <f>IFERROR(__xludf.DUMMYFUNCTION("""COMPUTED_VALUE"""),"INS - Heather Davey")</f>
        <v>INS - Heather Davey</v>
      </c>
      <c r="C112" s="14" t="b">
        <f>IFERROR(__xludf.DUMMYFUNCTION("""COMPUTED_VALUE"""),FALSE)</f>
        <v>0</v>
      </c>
      <c r="D112" s="21" t="str">
        <f>IFERROR(__xludf.DUMMYFUNCTION("""COMPUTED_VALUE"""),"")</f>
        <v/>
      </c>
      <c r="E112" s="15">
        <f>IFERROR(__xludf.DUMMYFUNCTION("""COMPUTED_VALUE"""),8372.33)</f>
        <v>8372.33</v>
      </c>
      <c r="F112" s="15">
        <f>IFERROR(__xludf.DUMMYFUNCTION("""COMPUTED_VALUE"""),0.0)</f>
        <v>0</v>
      </c>
      <c r="G112" s="15">
        <f>IFERROR(__xludf.DUMMYFUNCTION("""COMPUTED_VALUE"""),0.0)</f>
        <v>0</v>
      </c>
      <c r="H112" s="15">
        <f>IFERROR(__xludf.DUMMYFUNCTION("""COMPUTED_VALUE"""),0.0)</f>
        <v>0</v>
      </c>
      <c r="I112" s="15">
        <f>IFERROR(__xludf.DUMMYFUNCTION("""COMPUTED_VALUE"""),83.7233)</f>
        <v>83.7233</v>
      </c>
      <c r="J112" s="15">
        <f>IFERROR(__xludf.DUMMYFUNCTION("""COMPUTED_VALUE"""),0.0)</f>
        <v>0</v>
      </c>
      <c r="K112" s="15">
        <f>IFERROR(__xludf.DUMMYFUNCTION("""COMPUTED_VALUE"""),0.0)</f>
        <v>0</v>
      </c>
      <c r="L112" s="14" t="b">
        <v>0</v>
      </c>
    </row>
    <row r="113">
      <c r="A113" s="14">
        <f>IFERROR(__xludf.DUMMYFUNCTION("""COMPUTED_VALUE"""),2.0265112E7)</f>
        <v>20265112</v>
      </c>
      <c r="B113" s="14" t="str">
        <f>IFERROR(__xludf.DUMMYFUNCTION("""COMPUTED_VALUE"""),"INS - Dan Moorhead")</f>
        <v>INS - Dan Moorhead</v>
      </c>
      <c r="C113" s="14" t="b">
        <f>IFERROR(__xludf.DUMMYFUNCTION("""COMPUTED_VALUE"""),FALSE)</f>
        <v>0</v>
      </c>
      <c r="D113" s="21" t="str">
        <f>IFERROR(__xludf.DUMMYFUNCTION("""COMPUTED_VALUE"""),"")</f>
        <v/>
      </c>
      <c r="E113" s="15">
        <f>IFERROR(__xludf.DUMMYFUNCTION("""COMPUTED_VALUE"""),2874.78)</f>
        <v>2874.78</v>
      </c>
      <c r="F113" s="15">
        <f>IFERROR(__xludf.DUMMYFUNCTION("""COMPUTED_VALUE"""),0.0)</f>
        <v>0</v>
      </c>
      <c r="G113" s="15">
        <f>IFERROR(__xludf.DUMMYFUNCTION("""COMPUTED_VALUE"""),0.0)</f>
        <v>0</v>
      </c>
      <c r="H113" s="15">
        <f>IFERROR(__xludf.DUMMYFUNCTION("""COMPUTED_VALUE"""),0.0)</f>
        <v>0</v>
      </c>
      <c r="I113" s="15">
        <f>IFERROR(__xludf.DUMMYFUNCTION("""COMPUTED_VALUE"""),28.7478)</f>
        <v>28.7478</v>
      </c>
      <c r="J113" s="15">
        <f>IFERROR(__xludf.DUMMYFUNCTION("""COMPUTED_VALUE"""),0.0)</f>
        <v>0</v>
      </c>
      <c r="K113" s="15">
        <f>IFERROR(__xludf.DUMMYFUNCTION("""COMPUTED_VALUE"""),0.0)</f>
        <v>0</v>
      </c>
      <c r="L113" s="14" t="b">
        <v>0</v>
      </c>
    </row>
    <row r="114">
      <c r="A114" s="14">
        <f>IFERROR(__xludf.DUMMYFUNCTION("""COMPUTED_VALUE"""),2.0265113E7)</f>
        <v>20265113</v>
      </c>
      <c r="B114" s="14" t="str">
        <f>IFERROR(__xludf.DUMMYFUNCTION("""COMPUTED_VALUE"""),"John Bridgman")</f>
        <v>John Bridgman</v>
      </c>
      <c r="C114" s="14" t="b">
        <f>IFERROR(__xludf.DUMMYFUNCTION("""COMPUTED_VALUE"""),FALSE)</f>
        <v>0</v>
      </c>
      <c r="D114" s="21" t="str">
        <f>IFERROR(__xludf.DUMMYFUNCTION("""COMPUTED_VALUE"""),"")</f>
        <v/>
      </c>
      <c r="E114" s="15">
        <f>IFERROR(__xludf.DUMMYFUNCTION("""COMPUTED_VALUE"""),4619.44)</f>
        <v>4619.44</v>
      </c>
      <c r="F114" s="15">
        <f>IFERROR(__xludf.DUMMYFUNCTION("""COMPUTED_VALUE"""),0.0)</f>
        <v>0</v>
      </c>
      <c r="G114" s="15">
        <f>IFERROR(__xludf.DUMMYFUNCTION("""COMPUTED_VALUE"""),0.0)</f>
        <v>0</v>
      </c>
      <c r="H114" s="15">
        <f>IFERROR(__xludf.DUMMYFUNCTION("""COMPUTED_VALUE"""),0.0)</f>
        <v>0</v>
      </c>
      <c r="I114" s="15">
        <f>IFERROR(__xludf.DUMMYFUNCTION("""COMPUTED_VALUE"""),46.194399999999995)</f>
        <v>46.1944</v>
      </c>
      <c r="J114" s="15">
        <f>IFERROR(__xludf.DUMMYFUNCTION("""COMPUTED_VALUE"""),0.0)</f>
        <v>0</v>
      </c>
      <c r="K114" s="15">
        <f>IFERROR(__xludf.DUMMYFUNCTION("""COMPUTED_VALUE"""),0.0)</f>
        <v>0</v>
      </c>
      <c r="L114" s="14" t="b">
        <v>0</v>
      </c>
    </row>
    <row r="115">
      <c r="A115" s="14">
        <f>IFERROR(__xludf.DUMMYFUNCTION("""COMPUTED_VALUE"""),2.0265114E7)</f>
        <v>20265114</v>
      </c>
      <c r="B115" s="14" t="str">
        <f>IFERROR(__xludf.DUMMYFUNCTION("""COMPUTED_VALUE"""),"Patrick Mccoy")</f>
        <v>Patrick Mccoy</v>
      </c>
      <c r="C115" s="14" t="b">
        <f>IFERROR(__xludf.DUMMYFUNCTION("""COMPUTED_VALUE"""),FALSE)</f>
        <v>0</v>
      </c>
      <c r="D115" s="21" t="str">
        <f>IFERROR(__xludf.DUMMYFUNCTION("""COMPUTED_VALUE"""),"")</f>
        <v/>
      </c>
      <c r="E115" s="15">
        <f>IFERROR(__xludf.DUMMYFUNCTION("""COMPUTED_VALUE"""),9856.44)</f>
        <v>9856.44</v>
      </c>
      <c r="F115" s="15">
        <f>IFERROR(__xludf.DUMMYFUNCTION("""COMPUTED_VALUE"""),0.0)</f>
        <v>0</v>
      </c>
      <c r="G115" s="15">
        <f>IFERROR(__xludf.DUMMYFUNCTION("""COMPUTED_VALUE"""),0.0)</f>
        <v>0</v>
      </c>
      <c r="H115" s="15">
        <f>IFERROR(__xludf.DUMMYFUNCTION("""COMPUTED_VALUE"""),0.0)</f>
        <v>0</v>
      </c>
      <c r="I115" s="15">
        <f>IFERROR(__xludf.DUMMYFUNCTION("""COMPUTED_VALUE"""),98.5644)</f>
        <v>98.5644</v>
      </c>
      <c r="J115" s="15">
        <f>IFERROR(__xludf.DUMMYFUNCTION("""COMPUTED_VALUE"""),0.0)</f>
        <v>0</v>
      </c>
      <c r="K115" s="15">
        <f>IFERROR(__xludf.DUMMYFUNCTION("""COMPUTED_VALUE"""),0.0)</f>
        <v>0</v>
      </c>
      <c r="L115" s="14" t="b">
        <v>0</v>
      </c>
    </row>
    <row r="116">
      <c r="A116" s="14">
        <f>IFERROR(__xludf.DUMMYFUNCTION("""COMPUTED_VALUE"""),2.0265115E7)</f>
        <v>20265115</v>
      </c>
      <c r="B116" s="14" t="str">
        <f>IFERROR(__xludf.DUMMYFUNCTION("""COMPUTED_VALUE"""),"David Thomas")</f>
        <v>David Thomas</v>
      </c>
      <c r="C116" s="14" t="b">
        <f>IFERROR(__xludf.DUMMYFUNCTION("""COMPUTED_VALUE"""),FALSE)</f>
        <v>0</v>
      </c>
      <c r="D116" s="21" t="str">
        <f>IFERROR(__xludf.DUMMYFUNCTION("""COMPUTED_VALUE"""),"")</f>
        <v/>
      </c>
      <c r="E116" s="15">
        <f>IFERROR(__xludf.DUMMYFUNCTION("""COMPUTED_VALUE"""),834.0)</f>
        <v>834</v>
      </c>
      <c r="F116" s="15">
        <f>IFERROR(__xludf.DUMMYFUNCTION("""COMPUTED_VALUE"""),0.0)</f>
        <v>0</v>
      </c>
      <c r="G116" s="15">
        <f>IFERROR(__xludf.DUMMYFUNCTION("""COMPUTED_VALUE"""),0.0)</f>
        <v>0</v>
      </c>
      <c r="H116" s="15">
        <f>IFERROR(__xludf.DUMMYFUNCTION("""COMPUTED_VALUE"""),0.0)</f>
        <v>0</v>
      </c>
      <c r="I116" s="15">
        <f>IFERROR(__xludf.DUMMYFUNCTION("""COMPUTED_VALUE"""),8.34)</f>
        <v>8.34</v>
      </c>
      <c r="J116" s="15">
        <f>IFERROR(__xludf.DUMMYFUNCTION("""COMPUTED_VALUE"""),0.0)</f>
        <v>0</v>
      </c>
      <c r="K116" s="15">
        <f>IFERROR(__xludf.DUMMYFUNCTION("""COMPUTED_VALUE"""),0.0)</f>
        <v>0</v>
      </c>
      <c r="L116" s="14" t="b">
        <v>0</v>
      </c>
    </row>
    <row r="117">
      <c r="A117" s="14">
        <f>IFERROR(__xludf.DUMMYFUNCTION("""COMPUTED_VALUE"""),2.0265116E7)</f>
        <v>20265116</v>
      </c>
      <c r="B117" s="14" t="str">
        <f>IFERROR(__xludf.DUMMYFUNCTION("""COMPUTED_VALUE"""),"Tara Crowl")</f>
        <v>Tara Crowl</v>
      </c>
      <c r="C117" s="14" t="b">
        <f>IFERROR(__xludf.DUMMYFUNCTION("""COMPUTED_VALUE"""),FALSE)</f>
        <v>0</v>
      </c>
      <c r="D117" s="21" t="str">
        <f>IFERROR(__xludf.DUMMYFUNCTION("""COMPUTED_VALUE"""),"")</f>
        <v/>
      </c>
      <c r="E117" s="15">
        <f>IFERROR(__xludf.DUMMYFUNCTION("""COMPUTED_VALUE"""),544.23)</f>
        <v>544.23</v>
      </c>
      <c r="F117" s="15">
        <f>IFERROR(__xludf.DUMMYFUNCTION("""COMPUTED_VALUE"""),0.0)</f>
        <v>0</v>
      </c>
      <c r="G117" s="15">
        <f>IFERROR(__xludf.DUMMYFUNCTION("""COMPUTED_VALUE"""),0.0)</f>
        <v>0</v>
      </c>
      <c r="H117" s="15">
        <f>IFERROR(__xludf.DUMMYFUNCTION("""COMPUTED_VALUE"""),0.0)</f>
        <v>0</v>
      </c>
      <c r="I117" s="15">
        <f>IFERROR(__xludf.DUMMYFUNCTION("""COMPUTED_VALUE"""),5.4423)</f>
        <v>5.4423</v>
      </c>
      <c r="J117" s="15">
        <f>IFERROR(__xludf.DUMMYFUNCTION("""COMPUTED_VALUE"""),0.0)</f>
        <v>0</v>
      </c>
      <c r="K117" s="15">
        <f>IFERROR(__xludf.DUMMYFUNCTION("""COMPUTED_VALUE"""),0.0)</f>
        <v>0</v>
      </c>
      <c r="L117" s="14" t="b">
        <v>0</v>
      </c>
    </row>
    <row r="118">
      <c r="A118" s="14">
        <f>IFERROR(__xludf.DUMMYFUNCTION("""COMPUTED_VALUE"""),2.0265117E7)</f>
        <v>20265117</v>
      </c>
      <c r="B118" s="14" t="str">
        <f>IFERROR(__xludf.DUMMYFUNCTION("""COMPUTED_VALUE"""),"Keith Bowman")</f>
        <v>Keith Bowman</v>
      </c>
      <c r="C118" s="14" t="b">
        <f>IFERROR(__xludf.DUMMYFUNCTION("""COMPUTED_VALUE"""),FALSE)</f>
        <v>0</v>
      </c>
      <c r="D118" s="21" t="str">
        <f>IFERROR(__xludf.DUMMYFUNCTION("""COMPUTED_VALUE"""),"")</f>
        <v/>
      </c>
      <c r="E118" s="15">
        <f>IFERROR(__xludf.DUMMYFUNCTION("""COMPUTED_VALUE"""),801.05)</f>
        <v>801.05</v>
      </c>
      <c r="F118" s="15">
        <f>IFERROR(__xludf.DUMMYFUNCTION("""COMPUTED_VALUE"""),0.0)</f>
        <v>0</v>
      </c>
      <c r="G118" s="15">
        <f>IFERROR(__xludf.DUMMYFUNCTION("""COMPUTED_VALUE"""),0.0)</f>
        <v>0</v>
      </c>
      <c r="H118" s="15">
        <f>IFERROR(__xludf.DUMMYFUNCTION("""COMPUTED_VALUE"""),0.0)</f>
        <v>0</v>
      </c>
      <c r="I118" s="15">
        <f>IFERROR(__xludf.DUMMYFUNCTION("""COMPUTED_VALUE"""),8.0105)</f>
        <v>8.0105</v>
      </c>
      <c r="J118" s="15">
        <f>IFERROR(__xludf.DUMMYFUNCTION("""COMPUTED_VALUE"""),0.0)</f>
        <v>0</v>
      </c>
      <c r="K118" s="15">
        <f>IFERROR(__xludf.DUMMYFUNCTION("""COMPUTED_VALUE"""),0.0)</f>
        <v>0</v>
      </c>
      <c r="L118" s="14" t="b">
        <v>0</v>
      </c>
    </row>
    <row r="119">
      <c r="A119" s="14">
        <f>IFERROR(__xludf.DUMMYFUNCTION("""COMPUTED_VALUE"""),2.0265118E7)</f>
        <v>20265118</v>
      </c>
      <c r="B119" s="14" t="str">
        <f>IFERROR(__xludf.DUMMYFUNCTION("""COMPUTED_VALUE"""),"Spencer  Lanham")</f>
        <v>Spencer  Lanham</v>
      </c>
      <c r="C119" s="14" t="b">
        <f>IFERROR(__xludf.DUMMYFUNCTION("""COMPUTED_VALUE"""),FALSE)</f>
        <v>0</v>
      </c>
      <c r="D119" s="21" t="str">
        <f>IFERROR(__xludf.DUMMYFUNCTION("""COMPUTED_VALUE"""),"")</f>
        <v/>
      </c>
      <c r="E119" s="15">
        <f>IFERROR(__xludf.DUMMYFUNCTION("""COMPUTED_VALUE"""),0.0)</f>
        <v>0</v>
      </c>
      <c r="F119" s="15">
        <f>IFERROR(__xludf.DUMMYFUNCTION("""COMPUTED_VALUE"""),0.0)</f>
        <v>0</v>
      </c>
      <c r="G119" s="15">
        <f>IFERROR(__xludf.DUMMYFUNCTION("""COMPUTED_VALUE"""),0.0)</f>
        <v>0</v>
      </c>
      <c r="H119" s="15">
        <f>IFERROR(__xludf.DUMMYFUNCTION("""COMPUTED_VALUE"""),0.0)</f>
        <v>0</v>
      </c>
      <c r="I119" s="15">
        <f>IFERROR(__xludf.DUMMYFUNCTION("""COMPUTED_VALUE"""),0.0)</f>
        <v>0</v>
      </c>
      <c r="J119" s="15">
        <f>IFERROR(__xludf.DUMMYFUNCTION("""COMPUTED_VALUE"""),0.0)</f>
        <v>0</v>
      </c>
      <c r="K119" s="15">
        <f>IFERROR(__xludf.DUMMYFUNCTION("""COMPUTED_VALUE"""),0.0)</f>
        <v>0</v>
      </c>
      <c r="L119" s="14" t="b">
        <v>0</v>
      </c>
    </row>
    <row r="120">
      <c r="A120" s="14">
        <f>IFERROR(__xludf.DUMMYFUNCTION("""COMPUTED_VALUE"""),2.0265119E7)</f>
        <v>20265119</v>
      </c>
      <c r="B120" s="14" t="str">
        <f>IFERROR(__xludf.DUMMYFUNCTION("""COMPUTED_VALUE"""),"Jared Huelsman")</f>
        <v>Jared Huelsman</v>
      </c>
      <c r="C120" s="14" t="b">
        <f>IFERROR(__xludf.DUMMYFUNCTION("""COMPUTED_VALUE"""),FALSE)</f>
        <v>0</v>
      </c>
      <c r="D120" s="21" t="str">
        <f>IFERROR(__xludf.DUMMYFUNCTION("""COMPUTED_VALUE"""),"")</f>
        <v/>
      </c>
      <c r="E120" s="15">
        <f>IFERROR(__xludf.DUMMYFUNCTION("""COMPUTED_VALUE"""),8680.8)</f>
        <v>8680.8</v>
      </c>
      <c r="F120" s="15">
        <f>IFERROR(__xludf.DUMMYFUNCTION("""COMPUTED_VALUE"""),0.0)</f>
        <v>0</v>
      </c>
      <c r="G120" s="15">
        <f>IFERROR(__xludf.DUMMYFUNCTION("""COMPUTED_VALUE"""),0.0)</f>
        <v>0</v>
      </c>
      <c r="H120" s="15">
        <f>IFERROR(__xludf.DUMMYFUNCTION("""COMPUTED_VALUE"""),0.0)</f>
        <v>0</v>
      </c>
      <c r="I120" s="15">
        <f>IFERROR(__xludf.DUMMYFUNCTION("""COMPUTED_VALUE"""),86.80799999999999)</f>
        <v>86.808</v>
      </c>
      <c r="J120" s="15">
        <f>IFERROR(__xludf.DUMMYFUNCTION("""COMPUTED_VALUE"""),0.0)</f>
        <v>0</v>
      </c>
      <c r="K120" s="15">
        <f>IFERROR(__xludf.DUMMYFUNCTION("""COMPUTED_VALUE"""),0.0)</f>
        <v>0</v>
      </c>
      <c r="L120" s="14" t="b">
        <v>0</v>
      </c>
    </row>
    <row r="121">
      <c r="A121" s="14">
        <f>IFERROR(__xludf.DUMMYFUNCTION("""COMPUTED_VALUE"""),2.026512E7)</f>
        <v>20265120</v>
      </c>
      <c r="B121" s="14" t="str">
        <f>IFERROR(__xludf.DUMMYFUNCTION("""COMPUTED_VALUE"""),"Doug Murray")</f>
        <v>Doug Murray</v>
      </c>
      <c r="C121" s="14" t="b">
        <f>IFERROR(__xludf.DUMMYFUNCTION("""COMPUTED_VALUE"""),FALSE)</f>
        <v>0</v>
      </c>
      <c r="D121" s="21" t="str">
        <f>IFERROR(__xludf.DUMMYFUNCTION("""COMPUTED_VALUE"""),"")</f>
        <v/>
      </c>
      <c r="E121" s="15">
        <f>IFERROR(__xludf.DUMMYFUNCTION("""COMPUTED_VALUE"""),770.36)</f>
        <v>770.36</v>
      </c>
      <c r="F121" s="15">
        <f>IFERROR(__xludf.DUMMYFUNCTION("""COMPUTED_VALUE"""),0.0)</f>
        <v>0</v>
      </c>
      <c r="G121" s="15">
        <f>IFERROR(__xludf.DUMMYFUNCTION("""COMPUTED_VALUE"""),0.0)</f>
        <v>0</v>
      </c>
      <c r="H121" s="15">
        <f>IFERROR(__xludf.DUMMYFUNCTION("""COMPUTED_VALUE"""),0.0)</f>
        <v>0</v>
      </c>
      <c r="I121" s="15">
        <f>IFERROR(__xludf.DUMMYFUNCTION("""COMPUTED_VALUE"""),7.703600000000001)</f>
        <v>7.7036</v>
      </c>
      <c r="J121" s="15">
        <f>IFERROR(__xludf.DUMMYFUNCTION("""COMPUTED_VALUE"""),0.0)</f>
        <v>0</v>
      </c>
      <c r="K121" s="15">
        <f>IFERROR(__xludf.DUMMYFUNCTION("""COMPUTED_VALUE"""),0.0)</f>
        <v>0</v>
      </c>
      <c r="L121" s="14" t="b">
        <v>0</v>
      </c>
    </row>
    <row r="122">
      <c r="A122" s="14">
        <f>IFERROR(__xludf.DUMMYFUNCTION("""COMPUTED_VALUE"""),2.0265121E7)</f>
        <v>20265121</v>
      </c>
      <c r="B122" s="14" t="str">
        <f>IFERROR(__xludf.DUMMYFUNCTION("""COMPUTED_VALUE"""),"Skip Murray")</f>
        <v>Skip Murray</v>
      </c>
      <c r="C122" s="14" t="b">
        <f>IFERROR(__xludf.DUMMYFUNCTION("""COMPUTED_VALUE"""),FALSE)</f>
        <v>0</v>
      </c>
      <c r="D122" s="21" t="str">
        <f>IFERROR(__xludf.DUMMYFUNCTION("""COMPUTED_VALUE"""),"")</f>
        <v/>
      </c>
      <c r="E122" s="15">
        <f>IFERROR(__xludf.DUMMYFUNCTION("""COMPUTED_VALUE"""),870.36)</f>
        <v>870.36</v>
      </c>
      <c r="F122" s="15">
        <f>IFERROR(__xludf.DUMMYFUNCTION("""COMPUTED_VALUE"""),0.0)</f>
        <v>0</v>
      </c>
      <c r="G122" s="15">
        <f>IFERROR(__xludf.DUMMYFUNCTION("""COMPUTED_VALUE"""),0.0)</f>
        <v>0</v>
      </c>
      <c r="H122" s="15">
        <f>IFERROR(__xludf.DUMMYFUNCTION("""COMPUTED_VALUE"""),0.0)</f>
        <v>0</v>
      </c>
      <c r="I122" s="15">
        <f>IFERROR(__xludf.DUMMYFUNCTION("""COMPUTED_VALUE"""),8.7036)</f>
        <v>8.7036</v>
      </c>
      <c r="J122" s="15">
        <f>IFERROR(__xludf.DUMMYFUNCTION("""COMPUTED_VALUE"""),0.0)</f>
        <v>0</v>
      </c>
      <c r="K122" s="15">
        <f>IFERROR(__xludf.DUMMYFUNCTION("""COMPUTED_VALUE"""),0.0)</f>
        <v>0</v>
      </c>
      <c r="L122" s="14" t="b">
        <v>0</v>
      </c>
    </row>
    <row r="123">
      <c r="A123" s="14">
        <f>IFERROR(__xludf.DUMMYFUNCTION("""COMPUTED_VALUE"""),2.0265122E7)</f>
        <v>20265122</v>
      </c>
      <c r="B123" s="14" t="str">
        <f>IFERROR(__xludf.DUMMYFUNCTION("""COMPUTED_VALUE"""),"Chris White rental")</f>
        <v>Chris White rental</v>
      </c>
      <c r="C123" s="14" t="b">
        <f>IFERROR(__xludf.DUMMYFUNCTION("""COMPUTED_VALUE"""),FALSE)</f>
        <v>0</v>
      </c>
      <c r="D123" s="21" t="str">
        <f>IFERROR(__xludf.DUMMYFUNCTION("""COMPUTED_VALUE"""),"")</f>
        <v/>
      </c>
      <c r="E123" s="15">
        <f>IFERROR(__xludf.DUMMYFUNCTION("""COMPUTED_VALUE"""),551.05)</f>
        <v>551.05</v>
      </c>
      <c r="F123" s="15">
        <f>IFERROR(__xludf.DUMMYFUNCTION("""COMPUTED_VALUE"""),0.0)</f>
        <v>0</v>
      </c>
      <c r="G123" s="15">
        <f>IFERROR(__xludf.DUMMYFUNCTION("""COMPUTED_VALUE"""),0.0)</f>
        <v>0</v>
      </c>
      <c r="H123" s="15">
        <f>IFERROR(__xludf.DUMMYFUNCTION("""COMPUTED_VALUE"""),0.0)</f>
        <v>0</v>
      </c>
      <c r="I123" s="15">
        <f>IFERROR(__xludf.DUMMYFUNCTION("""COMPUTED_VALUE"""),5.5104999999999995)</f>
        <v>5.5105</v>
      </c>
      <c r="J123" s="15">
        <f>IFERROR(__xludf.DUMMYFUNCTION("""COMPUTED_VALUE"""),0.0)</f>
        <v>0</v>
      </c>
      <c r="K123" s="15">
        <f>IFERROR(__xludf.DUMMYFUNCTION("""COMPUTED_VALUE"""),0.0)</f>
        <v>0</v>
      </c>
      <c r="L123" s="14" t="b">
        <v>0</v>
      </c>
    </row>
    <row r="124">
      <c r="A124" s="14">
        <f>IFERROR(__xludf.DUMMYFUNCTION("""COMPUTED_VALUE"""),2.0265123E7)</f>
        <v>20265123</v>
      </c>
      <c r="B124" s="14" t="str">
        <f>IFERROR(__xludf.DUMMYFUNCTION("""COMPUTED_VALUE"""),"Dawn Hawks")</f>
        <v>Dawn Hawks</v>
      </c>
      <c r="C124" s="14" t="b">
        <f>IFERROR(__xludf.DUMMYFUNCTION("""COMPUTED_VALUE"""),FALSE)</f>
        <v>0</v>
      </c>
      <c r="D124" s="21" t="str">
        <f>IFERROR(__xludf.DUMMYFUNCTION("""COMPUTED_VALUE"""),"")</f>
        <v/>
      </c>
      <c r="E124" s="15">
        <f>IFERROR(__xludf.DUMMYFUNCTION("""COMPUTED_VALUE"""),2950.0)</f>
        <v>2950</v>
      </c>
      <c r="F124" s="15">
        <f>IFERROR(__xludf.DUMMYFUNCTION("""COMPUTED_VALUE"""),0.0)</f>
        <v>0</v>
      </c>
      <c r="G124" s="15">
        <f>IFERROR(__xludf.DUMMYFUNCTION("""COMPUTED_VALUE"""),0.0)</f>
        <v>0</v>
      </c>
      <c r="H124" s="15">
        <f>IFERROR(__xludf.DUMMYFUNCTION("""COMPUTED_VALUE"""),0.0)</f>
        <v>0</v>
      </c>
      <c r="I124" s="15">
        <f>IFERROR(__xludf.DUMMYFUNCTION("""COMPUTED_VALUE"""),29.5)</f>
        <v>29.5</v>
      </c>
      <c r="J124" s="15">
        <f>IFERROR(__xludf.DUMMYFUNCTION("""COMPUTED_VALUE"""),0.0)</f>
        <v>0</v>
      </c>
      <c r="K124" s="15">
        <f>IFERROR(__xludf.DUMMYFUNCTION("""COMPUTED_VALUE"""),0.0)</f>
        <v>0</v>
      </c>
      <c r="L124" s="14" t="b">
        <v>0</v>
      </c>
    </row>
    <row r="125">
      <c r="A125" s="14">
        <f>IFERROR(__xludf.DUMMYFUNCTION("""COMPUTED_VALUE"""),2.0265124E7)</f>
        <v>20265124</v>
      </c>
      <c r="B125" s="14" t="str">
        <f>IFERROR(__xludf.DUMMYFUNCTION("""COMPUTED_VALUE"""),"INS - Michael Besecker")</f>
        <v>INS - Michael Besecker</v>
      </c>
      <c r="C125" s="14" t="b">
        <f>IFERROR(__xludf.DUMMYFUNCTION("""COMPUTED_VALUE"""),FALSE)</f>
        <v>0</v>
      </c>
      <c r="D125" s="21" t="str">
        <f>IFERROR(__xludf.DUMMYFUNCTION("""COMPUTED_VALUE"""),"")</f>
        <v/>
      </c>
      <c r="E125" s="15">
        <f>IFERROR(__xludf.DUMMYFUNCTION("""COMPUTED_VALUE"""),22597.55)</f>
        <v>22597.55</v>
      </c>
      <c r="F125" s="15">
        <f>IFERROR(__xludf.DUMMYFUNCTION("""COMPUTED_VALUE"""),0.0)</f>
        <v>0</v>
      </c>
      <c r="G125" s="15">
        <f>IFERROR(__xludf.DUMMYFUNCTION("""COMPUTED_VALUE"""),0.0)</f>
        <v>0</v>
      </c>
      <c r="H125" s="15">
        <f>IFERROR(__xludf.DUMMYFUNCTION("""COMPUTED_VALUE"""),0.0)</f>
        <v>0</v>
      </c>
      <c r="I125" s="15">
        <f>IFERROR(__xludf.DUMMYFUNCTION("""COMPUTED_VALUE"""),225.9755)</f>
        <v>225.9755</v>
      </c>
      <c r="J125" s="15">
        <f>IFERROR(__xludf.DUMMYFUNCTION("""COMPUTED_VALUE"""),0.0)</f>
        <v>0</v>
      </c>
      <c r="K125" s="15">
        <f>IFERROR(__xludf.DUMMYFUNCTION("""COMPUTED_VALUE"""),0.0)</f>
        <v>0</v>
      </c>
      <c r="L125" s="14" t="b">
        <v>0</v>
      </c>
    </row>
    <row r="126">
      <c r="A126" s="14">
        <f>IFERROR(__xludf.DUMMYFUNCTION("""COMPUTED_VALUE"""),2.0265125E7)</f>
        <v>20265125</v>
      </c>
      <c r="B126" s="14" t="str">
        <f>IFERROR(__xludf.DUMMYFUNCTION("""COMPUTED_VALUE"""),"Melinda Rathbun")</f>
        <v>Melinda Rathbun</v>
      </c>
      <c r="C126" s="14" t="b">
        <f>IFERROR(__xludf.DUMMYFUNCTION("""COMPUTED_VALUE"""),FALSE)</f>
        <v>0</v>
      </c>
      <c r="D126" s="21" t="str">
        <f>IFERROR(__xludf.DUMMYFUNCTION("""COMPUTED_VALUE"""),"")</f>
        <v/>
      </c>
      <c r="E126" s="15">
        <f>IFERROR(__xludf.DUMMYFUNCTION("""COMPUTED_VALUE"""),2261.66)</f>
        <v>2261.66</v>
      </c>
      <c r="F126" s="15">
        <f>IFERROR(__xludf.DUMMYFUNCTION("""COMPUTED_VALUE"""),0.0)</f>
        <v>0</v>
      </c>
      <c r="G126" s="15">
        <f>IFERROR(__xludf.DUMMYFUNCTION("""COMPUTED_VALUE"""),0.0)</f>
        <v>0</v>
      </c>
      <c r="H126" s="15">
        <f>IFERROR(__xludf.DUMMYFUNCTION("""COMPUTED_VALUE"""),0.0)</f>
        <v>0</v>
      </c>
      <c r="I126" s="15">
        <f>IFERROR(__xludf.DUMMYFUNCTION("""COMPUTED_VALUE"""),22.6166)</f>
        <v>22.6166</v>
      </c>
      <c r="J126" s="15">
        <f>IFERROR(__xludf.DUMMYFUNCTION("""COMPUTED_VALUE"""),0.0)</f>
        <v>0</v>
      </c>
      <c r="K126" s="15">
        <f>IFERROR(__xludf.DUMMYFUNCTION("""COMPUTED_VALUE"""),0.0)</f>
        <v>0</v>
      </c>
      <c r="L126" s="14" t="b">
        <v>0</v>
      </c>
    </row>
    <row r="127">
      <c r="A127" s="14">
        <f>IFERROR(__xludf.DUMMYFUNCTION("""COMPUTED_VALUE"""),2.0265126E7)</f>
        <v>20265126</v>
      </c>
      <c r="B127" s="14" t="str">
        <f>IFERROR(__xludf.DUMMYFUNCTION("""COMPUTED_VALUE"""),"Van Lake Condos")</f>
        <v>Van Lake Condos</v>
      </c>
      <c r="C127" s="14" t="b">
        <f>IFERROR(__xludf.DUMMYFUNCTION("""COMPUTED_VALUE"""),FALSE)</f>
        <v>0</v>
      </c>
      <c r="D127" s="21" t="str">
        <f>IFERROR(__xludf.DUMMYFUNCTION("""COMPUTED_VALUE"""),"")</f>
        <v/>
      </c>
      <c r="E127" s="15">
        <f>IFERROR(__xludf.DUMMYFUNCTION("""COMPUTED_VALUE"""),23916.98)</f>
        <v>23916.98</v>
      </c>
      <c r="F127" s="15">
        <f>IFERROR(__xludf.DUMMYFUNCTION("""COMPUTED_VALUE"""),0.0)</f>
        <v>0</v>
      </c>
      <c r="G127" s="15">
        <f>IFERROR(__xludf.DUMMYFUNCTION("""COMPUTED_VALUE"""),0.0)</f>
        <v>0</v>
      </c>
      <c r="H127" s="15">
        <f>IFERROR(__xludf.DUMMYFUNCTION("""COMPUTED_VALUE"""),0.0)</f>
        <v>0</v>
      </c>
      <c r="I127" s="15">
        <f>IFERROR(__xludf.DUMMYFUNCTION("""COMPUTED_VALUE"""),239.1698)</f>
        <v>239.1698</v>
      </c>
      <c r="J127" s="15">
        <f>IFERROR(__xludf.DUMMYFUNCTION("""COMPUTED_VALUE"""),0.0)</f>
        <v>0</v>
      </c>
      <c r="K127" s="15">
        <f>IFERROR(__xludf.DUMMYFUNCTION("""COMPUTED_VALUE"""),0.0)</f>
        <v>0</v>
      </c>
      <c r="L127" s="14" t="b">
        <v>0</v>
      </c>
    </row>
    <row r="128">
      <c r="A128" s="14">
        <f>IFERROR(__xludf.DUMMYFUNCTION("""COMPUTED_VALUE"""),2.0265127E7)</f>
        <v>20265127</v>
      </c>
      <c r="B128" s="14" t="str">
        <f>IFERROR(__xludf.DUMMYFUNCTION("""COMPUTED_VALUE"""),"INS - Dillon Daugherty")</f>
        <v>INS - Dillon Daugherty</v>
      </c>
      <c r="C128" s="14" t="b">
        <f>IFERROR(__xludf.DUMMYFUNCTION("""COMPUTED_VALUE"""),FALSE)</f>
        <v>0</v>
      </c>
      <c r="D128" s="21" t="str">
        <f>IFERROR(__xludf.DUMMYFUNCTION("""COMPUTED_VALUE"""),"")</f>
        <v/>
      </c>
      <c r="E128" s="15">
        <f>IFERROR(__xludf.DUMMYFUNCTION("""COMPUTED_VALUE"""),18142.33)</f>
        <v>18142.33</v>
      </c>
      <c r="F128" s="15">
        <f>IFERROR(__xludf.DUMMYFUNCTION("""COMPUTED_VALUE"""),0.0)</f>
        <v>0</v>
      </c>
      <c r="G128" s="15">
        <f>IFERROR(__xludf.DUMMYFUNCTION("""COMPUTED_VALUE"""),0.0)</f>
        <v>0</v>
      </c>
      <c r="H128" s="15">
        <f>IFERROR(__xludf.DUMMYFUNCTION("""COMPUTED_VALUE"""),0.0)</f>
        <v>0</v>
      </c>
      <c r="I128" s="15">
        <f>IFERROR(__xludf.DUMMYFUNCTION("""COMPUTED_VALUE"""),181.4233)</f>
        <v>181.4233</v>
      </c>
      <c r="J128" s="15">
        <f>IFERROR(__xludf.DUMMYFUNCTION("""COMPUTED_VALUE"""),0.0)</f>
        <v>0</v>
      </c>
      <c r="K128" s="15">
        <f>IFERROR(__xludf.DUMMYFUNCTION("""COMPUTED_VALUE"""),0.0)</f>
        <v>0</v>
      </c>
      <c r="L128" s="14" t="b">
        <v>0</v>
      </c>
    </row>
    <row r="129">
      <c r="A129" s="14">
        <f>IFERROR(__xludf.DUMMYFUNCTION("""COMPUTED_VALUE"""),2.0265128E7)</f>
        <v>20265128</v>
      </c>
      <c r="B129" s="14" t="str">
        <f>IFERROR(__xludf.DUMMYFUNCTION("""COMPUTED_VALUE"""),"Ben Boche")</f>
        <v>Ben Boche</v>
      </c>
      <c r="C129" s="14" t="b">
        <f>IFERROR(__xludf.DUMMYFUNCTION("""COMPUTED_VALUE"""),FALSE)</f>
        <v>0</v>
      </c>
      <c r="D129" s="21" t="str">
        <f>IFERROR(__xludf.DUMMYFUNCTION("""COMPUTED_VALUE"""),"")</f>
        <v/>
      </c>
      <c r="E129" s="15">
        <f>IFERROR(__xludf.DUMMYFUNCTION("""COMPUTED_VALUE"""),820.0)</f>
        <v>820</v>
      </c>
      <c r="F129" s="15">
        <f>IFERROR(__xludf.DUMMYFUNCTION("""COMPUTED_VALUE"""),0.0)</f>
        <v>0</v>
      </c>
      <c r="G129" s="15">
        <f>IFERROR(__xludf.DUMMYFUNCTION("""COMPUTED_VALUE"""),0.0)</f>
        <v>0</v>
      </c>
      <c r="H129" s="15">
        <f>IFERROR(__xludf.DUMMYFUNCTION("""COMPUTED_VALUE"""),0.0)</f>
        <v>0</v>
      </c>
      <c r="I129" s="15">
        <f>IFERROR(__xludf.DUMMYFUNCTION("""COMPUTED_VALUE"""),8.2)</f>
        <v>8.2</v>
      </c>
      <c r="J129" s="15">
        <f>IFERROR(__xludf.DUMMYFUNCTION("""COMPUTED_VALUE"""),0.0)</f>
        <v>0</v>
      </c>
      <c r="K129" s="15">
        <f>IFERROR(__xludf.DUMMYFUNCTION("""COMPUTED_VALUE"""),0.0)</f>
        <v>0</v>
      </c>
      <c r="L129" s="14" t="b">
        <v>0</v>
      </c>
    </row>
    <row r="130">
      <c r="A130" s="14">
        <f>IFERROR(__xludf.DUMMYFUNCTION("""COMPUTED_VALUE"""),2.0265129E7)</f>
        <v>20265129</v>
      </c>
      <c r="B130" s="14" t="str">
        <f>IFERROR(__xludf.DUMMYFUNCTION("""COMPUTED_VALUE"""),"Shrishail Nashi")</f>
        <v>Shrishail Nashi</v>
      </c>
      <c r="C130" s="14" t="b">
        <f>IFERROR(__xludf.DUMMYFUNCTION("""COMPUTED_VALUE"""),FALSE)</f>
        <v>0</v>
      </c>
      <c r="D130" s="21" t="str">
        <f>IFERROR(__xludf.DUMMYFUNCTION("""COMPUTED_VALUE"""),"")</f>
        <v/>
      </c>
      <c r="E130" s="15">
        <f>IFERROR(__xludf.DUMMYFUNCTION("""COMPUTED_VALUE"""),4340.0)</f>
        <v>4340</v>
      </c>
      <c r="F130" s="15">
        <f>IFERROR(__xludf.DUMMYFUNCTION("""COMPUTED_VALUE"""),0.0)</f>
        <v>0</v>
      </c>
      <c r="G130" s="15">
        <f>IFERROR(__xludf.DUMMYFUNCTION("""COMPUTED_VALUE"""),0.0)</f>
        <v>0</v>
      </c>
      <c r="H130" s="15">
        <f>IFERROR(__xludf.DUMMYFUNCTION("""COMPUTED_VALUE"""),0.0)</f>
        <v>0</v>
      </c>
      <c r="I130" s="15">
        <f>IFERROR(__xludf.DUMMYFUNCTION("""COMPUTED_VALUE"""),43.4)</f>
        <v>43.4</v>
      </c>
      <c r="J130" s="15">
        <f>IFERROR(__xludf.DUMMYFUNCTION("""COMPUTED_VALUE"""),0.0)</f>
        <v>0</v>
      </c>
      <c r="K130" s="15">
        <f>IFERROR(__xludf.DUMMYFUNCTION("""COMPUTED_VALUE"""),0.0)</f>
        <v>0</v>
      </c>
      <c r="L130" s="14" t="b">
        <v>0</v>
      </c>
    </row>
    <row r="131">
      <c r="A131" s="14" t="str">
        <f>IFERROR(__xludf.DUMMYFUNCTION("""COMPUTED_VALUE"""),"Grand Total")</f>
        <v>Grand Total</v>
      </c>
      <c r="B131" s="14"/>
      <c r="C131" s="14"/>
      <c r="D131" s="14"/>
      <c r="E131" s="15">
        <f>IFERROR(__xludf.DUMMYFUNCTION("""COMPUTED_VALUE"""),757244.55)</f>
        <v>757244.55</v>
      </c>
      <c r="F131" s="15">
        <f>IFERROR(__xludf.DUMMYFUNCTION("""COMPUTED_VALUE"""),3881.099999999995)</f>
        <v>3881.1</v>
      </c>
      <c r="G131" s="15">
        <f>IFERROR(__xludf.DUMMYFUNCTION("""COMPUTED_VALUE"""),253885.39000000007)</f>
        <v>253885.39</v>
      </c>
      <c r="H131" s="15">
        <f>IFERROR(__xludf.DUMMYFUNCTION("""COMPUTED_VALUE"""),177028.67)</f>
        <v>177028.67</v>
      </c>
      <c r="I131" s="15">
        <f>IFERROR(__xludf.DUMMYFUNCTION("""COMPUTED_VALUE"""),7611.2565)</f>
        <v>7611.2565</v>
      </c>
      <c r="J131" s="15">
        <f>IFERROR(__xludf.DUMMYFUNCTION("""COMPUTED_VALUE"""),0.0)</f>
        <v>0</v>
      </c>
      <c r="K131" s="15">
        <f>IFERROR(__xludf.DUMMYFUNCTION("""COMPUTED_VALUE"""),0.0)</f>
        <v>0</v>
      </c>
      <c r="L131" s="14" t="b"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>
        <f>IFERROR(__xludf.DUMMYFUNCTION("""COMPUTED_VALUE"""),0.0)</f>
        <v>0</v>
      </c>
      <c r="K132" s="15">
        <f>IFERROR(__xludf.DUMMYFUNCTION("""COMPUTED_VALUE"""),0.0)</f>
        <v>0</v>
      </c>
      <c r="L132" s="14" t="b"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>
        <f>IFERROR(__xludf.DUMMYFUNCTION("""COMPUTED_VALUE"""),0.0)</f>
        <v>0</v>
      </c>
      <c r="K133" s="15">
        <f>IFERROR(__xludf.DUMMYFUNCTION("""COMPUTED_VALUE"""),0.0)</f>
        <v>0</v>
      </c>
      <c r="L133" s="14" t="b"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>
        <f>IFERROR(__xludf.DUMMYFUNCTION("""COMPUTED_VALUE"""),0.0)</f>
        <v>0</v>
      </c>
      <c r="K134" s="15">
        <f>IFERROR(__xludf.DUMMYFUNCTION("""COMPUTED_VALUE"""),0.0)</f>
        <v>0</v>
      </c>
      <c r="L134" s="14" t="b"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>
        <f>IFERROR(__xludf.DUMMYFUNCTION("""COMPUTED_VALUE"""),0.0)</f>
        <v>0</v>
      </c>
      <c r="K135" s="15">
        <f>IFERROR(__xludf.DUMMYFUNCTION("""COMPUTED_VALUE"""),0.0)</f>
        <v>0</v>
      </c>
      <c r="L135" s="14" t="b"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>
        <f>IFERROR(__xludf.DUMMYFUNCTION("""COMPUTED_VALUE"""),0.0)</f>
        <v>0</v>
      </c>
      <c r="K136" s="15">
        <f>IFERROR(__xludf.DUMMYFUNCTION("""COMPUTED_VALUE"""),0.0)</f>
        <v>0</v>
      </c>
      <c r="L136" s="14" t="b"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>
        <f>IFERROR(__xludf.DUMMYFUNCTION("""COMPUTED_VALUE"""),0.0)</f>
        <v>0</v>
      </c>
      <c r="K137" s="15">
        <f>IFERROR(__xludf.DUMMYFUNCTION("""COMPUTED_VALUE"""),0.0)</f>
        <v>0</v>
      </c>
      <c r="L137" s="14" t="b"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>
        <f>IFERROR(__xludf.DUMMYFUNCTION("""COMPUTED_VALUE"""),0.0)</f>
        <v>0</v>
      </c>
      <c r="K138" s="15">
        <f>IFERROR(__xludf.DUMMYFUNCTION("""COMPUTED_VALUE"""),0.0)</f>
        <v>0</v>
      </c>
      <c r="L138" s="14" t="b"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>
        <f>IFERROR(__xludf.DUMMYFUNCTION("""COMPUTED_VALUE"""),0.0)</f>
        <v>0</v>
      </c>
      <c r="K139" s="15">
        <f>IFERROR(__xludf.DUMMYFUNCTION("""COMPUTED_VALUE"""),0.0)</f>
        <v>0</v>
      </c>
      <c r="L139" s="14" t="b"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>
        <f>IFERROR(__xludf.DUMMYFUNCTION("""COMPUTED_VALUE"""),0.0)</f>
        <v>0</v>
      </c>
      <c r="K140" s="15">
        <f>IFERROR(__xludf.DUMMYFUNCTION("""COMPUTED_VALUE"""),0.0)</f>
        <v>0</v>
      </c>
      <c r="L140" s="14" t="b"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>
        <f>IFERROR(__xludf.DUMMYFUNCTION("""COMPUTED_VALUE"""),0.0)</f>
        <v>0</v>
      </c>
      <c r="K141" s="15">
        <f>IFERROR(__xludf.DUMMYFUNCTION("""COMPUTED_VALUE"""),0.0)</f>
        <v>0</v>
      </c>
      <c r="L141" s="14" t="b"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>
        <f>IFERROR(__xludf.DUMMYFUNCTION("""COMPUTED_VALUE"""),0.0)</f>
        <v>0</v>
      </c>
      <c r="K142" s="15">
        <f>IFERROR(__xludf.DUMMYFUNCTION("""COMPUTED_VALUE"""),0.0)</f>
        <v>0</v>
      </c>
      <c r="L142" s="14" t="b"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>
        <f>IFERROR(__xludf.DUMMYFUNCTION("""COMPUTED_VALUE"""),0.0)</f>
        <v>0</v>
      </c>
      <c r="K143" s="15">
        <f>IFERROR(__xludf.DUMMYFUNCTION("""COMPUTED_VALUE"""),0.0)</f>
        <v>0</v>
      </c>
      <c r="L143" s="14" t="b"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>
        <f>IFERROR(__xludf.DUMMYFUNCTION("""COMPUTED_VALUE"""),0.0)</f>
        <v>0</v>
      </c>
      <c r="K144" s="15">
        <f>IFERROR(__xludf.DUMMYFUNCTION("""COMPUTED_VALUE"""),0.0)</f>
        <v>0</v>
      </c>
      <c r="L144" s="14" t="b"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>
        <f>IFERROR(__xludf.DUMMYFUNCTION("""COMPUTED_VALUE"""),0.0)</f>
        <v>0</v>
      </c>
      <c r="K145" s="15">
        <f>IFERROR(__xludf.DUMMYFUNCTION("""COMPUTED_VALUE"""),0.0)</f>
        <v>0</v>
      </c>
      <c r="L145" s="14" t="b"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>
        <f>IFERROR(__xludf.DUMMYFUNCTION("""COMPUTED_VALUE"""),0.0)</f>
        <v>0</v>
      </c>
      <c r="K146" s="15">
        <f>IFERROR(__xludf.DUMMYFUNCTION("""COMPUTED_VALUE"""),0.0)</f>
        <v>0</v>
      </c>
      <c r="L146" s="14" t="b"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>
        <f>IFERROR(__xludf.DUMMYFUNCTION("""COMPUTED_VALUE"""),0.0)</f>
        <v>0</v>
      </c>
      <c r="K147" s="15">
        <f>IFERROR(__xludf.DUMMYFUNCTION("""COMPUTED_VALUE"""),0.0)</f>
        <v>0</v>
      </c>
      <c r="L147" s="14" t="b"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>
        <f>IFERROR(__xludf.DUMMYFUNCTION("""COMPUTED_VALUE"""),0.0)</f>
        <v>0</v>
      </c>
      <c r="K148" s="15">
        <f>IFERROR(__xludf.DUMMYFUNCTION("""COMPUTED_VALUE"""),0.0)</f>
        <v>0</v>
      </c>
      <c r="L148" s="14" t="b"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>
        <f>IFERROR(__xludf.DUMMYFUNCTION("""COMPUTED_VALUE"""),0.0)</f>
        <v>0</v>
      </c>
      <c r="K149" s="15">
        <f>IFERROR(__xludf.DUMMYFUNCTION("""COMPUTED_VALUE"""),0.0)</f>
        <v>0</v>
      </c>
      <c r="L149" s="14" t="b"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>
        <f>IFERROR(__xludf.DUMMYFUNCTION("""COMPUTED_VALUE"""),0.0)</f>
        <v>0</v>
      </c>
      <c r="K150" s="15">
        <f>IFERROR(__xludf.DUMMYFUNCTION("""COMPUTED_VALUE"""),0.0)</f>
        <v>0</v>
      </c>
      <c r="L150" s="14" t="b"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>
        <f>IFERROR(__xludf.DUMMYFUNCTION("""COMPUTED_VALUE"""),0.0)</f>
        <v>0</v>
      </c>
      <c r="K151" s="15">
        <f>IFERROR(__xludf.DUMMYFUNCTION("""COMPUTED_VALUE"""),0.0)</f>
        <v>0</v>
      </c>
      <c r="L151" s="14" t="b"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>
        <f>IFERROR(__xludf.DUMMYFUNCTION("""COMPUTED_VALUE"""),0.0)</f>
        <v>0</v>
      </c>
      <c r="K152" s="15">
        <f>IFERROR(__xludf.DUMMYFUNCTION("""COMPUTED_VALUE"""),0.0)</f>
        <v>0</v>
      </c>
      <c r="L152" s="14" t="b"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>
        <f>IFERROR(__xludf.DUMMYFUNCTION("""COMPUTED_VALUE"""),0.0)</f>
        <v>0</v>
      </c>
      <c r="K153" s="15">
        <f>IFERROR(__xludf.DUMMYFUNCTION("""COMPUTED_VALUE"""),0.0)</f>
        <v>0</v>
      </c>
      <c r="L153" s="14" t="b"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>
        <f>IFERROR(__xludf.DUMMYFUNCTION("""COMPUTED_VALUE"""),0.0)</f>
        <v>0</v>
      </c>
      <c r="K154" s="15">
        <f>IFERROR(__xludf.DUMMYFUNCTION("""COMPUTED_VALUE"""),0.0)</f>
        <v>0</v>
      </c>
      <c r="L154" s="14" t="b"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>
        <f>IFERROR(__xludf.DUMMYFUNCTION("""COMPUTED_VALUE"""),0.0)</f>
        <v>0</v>
      </c>
      <c r="K155" s="15">
        <f>IFERROR(__xludf.DUMMYFUNCTION("""COMPUTED_VALUE"""),0.0)</f>
        <v>0</v>
      </c>
      <c r="L155" s="14" t="b"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>
        <f>IFERROR(__xludf.DUMMYFUNCTION("""COMPUTED_VALUE"""),0.0)</f>
        <v>0</v>
      </c>
      <c r="K156" s="15">
        <f>IFERROR(__xludf.DUMMYFUNCTION("""COMPUTED_VALUE"""),0.0)</f>
        <v>0</v>
      </c>
      <c r="L156" s="14" t="b"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>
        <f>IFERROR(__xludf.DUMMYFUNCTION("""COMPUTED_VALUE"""),0.0)</f>
        <v>0</v>
      </c>
      <c r="K157" s="15">
        <f>IFERROR(__xludf.DUMMYFUNCTION("""COMPUTED_VALUE"""),0.0)</f>
        <v>0</v>
      </c>
      <c r="L157" s="14" t="b"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>
        <f>IFERROR(__xludf.DUMMYFUNCTION("""COMPUTED_VALUE"""),0.0)</f>
        <v>0</v>
      </c>
      <c r="K158" s="15">
        <f>IFERROR(__xludf.DUMMYFUNCTION("""COMPUTED_VALUE"""),0.0)</f>
        <v>0</v>
      </c>
      <c r="L158" s="14" t="b"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>
        <f>IFERROR(__xludf.DUMMYFUNCTION("""COMPUTED_VALUE"""),0.0)</f>
        <v>0</v>
      </c>
      <c r="K159" s="15">
        <f>IFERROR(__xludf.DUMMYFUNCTION("""COMPUTED_VALUE"""),0.0)</f>
        <v>0</v>
      </c>
      <c r="L159" s="14" t="b"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>
        <f>IFERROR(__xludf.DUMMYFUNCTION("""COMPUTED_VALUE"""),0.0)</f>
        <v>0</v>
      </c>
      <c r="K160" s="15">
        <f>IFERROR(__xludf.DUMMYFUNCTION("""COMPUTED_VALUE"""),0.0)</f>
        <v>0</v>
      </c>
      <c r="L160" s="14" t="b"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>
        <f>IFERROR(__xludf.DUMMYFUNCTION("""COMPUTED_VALUE"""),0.0)</f>
        <v>0</v>
      </c>
      <c r="K161" s="15">
        <f>IFERROR(__xludf.DUMMYFUNCTION("""COMPUTED_VALUE"""),0.0)</f>
        <v>0</v>
      </c>
      <c r="L161" s="14" t="b"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>
        <f>IFERROR(__xludf.DUMMYFUNCTION("""COMPUTED_VALUE"""),0.0)</f>
        <v>0</v>
      </c>
      <c r="K162" s="15">
        <f>IFERROR(__xludf.DUMMYFUNCTION("""COMPUTED_VALUE"""),0.0)</f>
        <v>0</v>
      </c>
      <c r="L162" s="14" t="b"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>
        <f>IFERROR(__xludf.DUMMYFUNCTION("""COMPUTED_VALUE"""),0.0)</f>
        <v>0</v>
      </c>
      <c r="K163" s="15">
        <f>IFERROR(__xludf.DUMMYFUNCTION("""COMPUTED_VALUE"""),0.0)</f>
        <v>0</v>
      </c>
      <c r="L163" s="14" t="b"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>
        <f>IFERROR(__xludf.DUMMYFUNCTION("""COMPUTED_VALUE"""),0.0)</f>
        <v>0</v>
      </c>
      <c r="K164" s="15">
        <f>IFERROR(__xludf.DUMMYFUNCTION("""COMPUTED_VALUE"""),0.0)</f>
        <v>0</v>
      </c>
      <c r="L164" s="14" t="b"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>
        <f>IFERROR(__xludf.DUMMYFUNCTION("""COMPUTED_VALUE"""),0.0)</f>
        <v>0</v>
      </c>
      <c r="K165" s="15">
        <f>IFERROR(__xludf.DUMMYFUNCTION("""COMPUTED_VALUE"""),0.0)</f>
        <v>0</v>
      </c>
      <c r="L165" s="14" t="b"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>
        <f>IFERROR(__xludf.DUMMYFUNCTION("""COMPUTED_VALUE"""),0.0)</f>
        <v>0</v>
      </c>
      <c r="K166" s="15">
        <f>IFERROR(__xludf.DUMMYFUNCTION("""COMPUTED_VALUE"""),0.0)</f>
        <v>0</v>
      </c>
      <c r="L166" s="14" t="b"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>
        <f>IFERROR(__xludf.DUMMYFUNCTION("""COMPUTED_VALUE"""),0.0)</f>
        <v>0</v>
      </c>
      <c r="K167" s="15">
        <f>IFERROR(__xludf.DUMMYFUNCTION("""COMPUTED_VALUE"""),0.0)</f>
        <v>0</v>
      </c>
      <c r="L167" s="14" t="b"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>
        <f>IFERROR(__xludf.DUMMYFUNCTION("""COMPUTED_VALUE"""),0.0)</f>
        <v>0</v>
      </c>
      <c r="K168" s="15">
        <f>IFERROR(__xludf.DUMMYFUNCTION("""COMPUTED_VALUE"""),0.0)</f>
        <v>0</v>
      </c>
      <c r="L168" s="14" t="b"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>
        <f>IFERROR(__xludf.DUMMYFUNCTION("""COMPUTED_VALUE"""),0.0)</f>
        <v>0</v>
      </c>
      <c r="K169" s="15">
        <f>IFERROR(__xludf.DUMMYFUNCTION("""COMPUTED_VALUE"""),0.0)</f>
        <v>0</v>
      </c>
      <c r="L169" s="14" t="b"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>
        <f>IFERROR(__xludf.DUMMYFUNCTION("""COMPUTED_VALUE"""),0.0)</f>
        <v>0</v>
      </c>
      <c r="K170" s="15">
        <f>IFERROR(__xludf.DUMMYFUNCTION("""COMPUTED_VALUE"""),0.0)</f>
        <v>0</v>
      </c>
      <c r="L170" s="14" t="b"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>
        <f>IFERROR(__xludf.DUMMYFUNCTION("""COMPUTED_VALUE"""),0.0)</f>
        <v>0</v>
      </c>
      <c r="K171" s="15">
        <f>IFERROR(__xludf.DUMMYFUNCTION("""COMPUTED_VALUE"""),0.0)</f>
        <v>0</v>
      </c>
      <c r="L171" s="14" t="b"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>
        <f>IFERROR(__xludf.DUMMYFUNCTION("""COMPUTED_VALUE"""),0.0)</f>
        <v>0</v>
      </c>
      <c r="K172" s="15">
        <f>IFERROR(__xludf.DUMMYFUNCTION("""COMPUTED_VALUE"""),0.0)</f>
        <v>0</v>
      </c>
      <c r="L172" s="14" t="b"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>
        <f>IFERROR(__xludf.DUMMYFUNCTION("""COMPUTED_VALUE"""),0.0)</f>
        <v>0</v>
      </c>
      <c r="K173" s="15">
        <f>IFERROR(__xludf.DUMMYFUNCTION("""COMPUTED_VALUE"""),0.0)</f>
        <v>0</v>
      </c>
      <c r="L173" s="14" t="b"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>
        <f>IFERROR(__xludf.DUMMYFUNCTION("""COMPUTED_VALUE"""),0.0)</f>
        <v>0</v>
      </c>
      <c r="K174" s="15">
        <f>IFERROR(__xludf.DUMMYFUNCTION("""COMPUTED_VALUE"""),0.0)</f>
        <v>0</v>
      </c>
      <c r="L174" s="14" t="b"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>
        <f>IFERROR(__xludf.DUMMYFUNCTION("""COMPUTED_VALUE"""),0.0)</f>
        <v>0</v>
      </c>
      <c r="K175" s="15">
        <f>IFERROR(__xludf.DUMMYFUNCTION("""COMPUTED_VALUE"""),0.0)</f>
        <v>0</v>
      </c>
      <c r="L175" s="14" t="b"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>
        <f>IFERROR(__xludf.DUMMYFUNCTION("""COMPUTED_VALUE"""),0.0)</f>
        <v>0</v>
      </c>
      <c r="K176" s="15">
        <f>IFERROR(__xludf.DUMMYFUNCTION("""COMPUTED_VALUE"""),0.0)</f>
        <v>0</v>
      </c>
      <c r="L176" s="14" t="b"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>
        <f>IFERROR(__xludf.DUMMYFUNCTION("""COMPUTED_VALUE"""),0.0)</f>
        <v>0</v>
      </c>
      <c r="K177" s="15">
        <f>IFERROR(__xludf.DUMMYFUNCTION("""COMPUTED_VALUE"""),0.0)</f>
        <v>0</v>
      </c>
      <c r="L177" s="14" t="b"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>
        <f>IFERROR(__xludf.DUMMYFUNCTION("""COMPUTED_VALUE"""),0.0)</f>
        <v>0</v>
      </c>
      <c r="K178" s="15">
        <f>IFERROR(__xludf.DUMMYFUNCTION("""COMPUTED_VALUE"""),0.0)</f>
        <v>0</v>
      </c>
      <c r="L178" s="14" t="b"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>
        <f>IFERROR(__xludf.DUMMYFUNCTION("""COMPUTED_VALUE"""),0.0)</f>
        <v>0</v>
      </c>
      <c r="K179" s="15">
        <f>IFERROR(__xludf.DUMMYFUNCTION("""COMPUTED_VALUE"""),0.0)</f>
        <v>0</v>
      </c>
      <c r="L179" s="14" t="b"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>
        <f>IFERROR(__xludf.DUMMYFUNCTION("""COMPUTED_VALUE"""),0.0)</f>
        <v>0</v>
      </c>
      <c r="K180" s="15">
        <f>IFERROR(__xludf.DUMMYFUNCTION("""COMPUTED_VALUE"""),0.0)</f>
        <v>0</v>
      </c>
      <c r="L180" s="14" t="b"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>
        <f>IFERROR(__xludf.DUMMYFUNCTION("""COMPUTED_VALUE"""),0.0)</f>
        <v>0</v>
      </c>
      <c r="K181" s="15">
        <f>IFERROR(__xludf.DUMMYFUNCTION("""COMPUTED_VALUE"""),0.0)</f>
        <v>0</v>
      </c>
      <c r="L181" s="14" t="b"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>
        <f>IFERROR(__xludf.DUMMYFUNCTION("""COMPUTED_VALUE"""),0.0)</f>
        <v>0</v>
      </c>
      <c r="K182" s="15">
        <f>IFERROR(__xludf.DUMMYFUNCTION("""COMPUTED_VALUE"""),0.0)</f>
        <v>0</v>
      </c>
      <c r="L182" s="14" t="b"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>
        <f>IFERROR(__xludf.DUMMYFUNCTION("""COMPUTED_VALUE"""),0.0)</f>
        <v>0</v>
      </c>
      <c r="K183" s="15">
        <f>IFERROR(__xludf.DUMMYFUNCTION("""COMPUTED_VALUE"""),0.0)</f>
        <v>0</v>
      </c>
      <c r="L183" s="14" t="b"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>
        <f>IFERROR(__xludf.DUMMYFUNCTION("""COMPUTED_VALUE"""),0.0)</f>
        <v>0</v>
      </c>
      <c r="K184" s="15">
        <f>IFERROR(__xludf.DUMMYFUNCTION("""COMPUTED_VALUE"""),0.0)</f>
        <v>0</v>
      </c>
      <c r="L184" s="14" t="b"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>
        <f>IFERROR(__xludf.DUMMYFUNCTION("""COMPUTED_VALUE"""),0.0)</f>
        <v>0</v>
      </c>
      <c r="K185" s="15">
        <f>IFERROR(__xludf.DUMMYFUNCTION("""COMPUTED_VALUE"""),0.0)</f>
        <v>0</v>
      </c>
      <c r="L185" s="14" t="b"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>
        <f>IFERROR(__xludf.DUMMYFUNCTION("""COMPUTED_VALUE"""),0.0)</f>
        <v>0</v>
      </c>
      <c r="K186" s="15">
        <f>IFERROR(__xludf.DUMMYFUNCTION("""COMPUTED_VALUE"""),0.0)</f>
        <v>0</v>
      </c>
      <c r="L186" s="14" t="b"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>
        <f>IFERROR(__xludf.DUMMYFUNCTION("""COMPUTED_VALUE"""),0.0)</f>
        <v>0</v>
      </c>
      <c r="K187" s="15">
        <f>IFERROR(__xludf.DUMMYFUNCTION("""COMPUTED_VALUE"""),0.0)</f>
        <v>0</v>
      </c>
      <c r="L187" s="14" t="b"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>
        <f>IFERROR(__xludf.DUMMYFUNCTION("""COMPUTED_VALUE"""),0.0)</f>
        <v>0</v>
      </c>
      <c r="K188" s="15">
        <f>IFERROR(__xludf.DUMMYFUNCTION("""COMPUTED_VALUE"""),0.0)</f>
        <v>0</v>
      </c>
      <c r="L188" s="14" t="b"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>
        <f>IFERROR(__xludf.DUMMYFUNCTION("""COMPUTED_VALUE"""),0.0)</f>
        <v>0</v>
      </c>
      <c r="K189" s="15">
        <f>IFERROR(__xludf.DUMMYFUNCTION("""COMPUTED_VALUE"""),0.0)</f>
        <v>0</v>
      </c>
      <c r="L189" s="14" t="b"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>
        <f>IFERROR(__xludf.DUMMYFUNCTION("""COMPUTED_VALUE"""),0.0)</f>
        <v>0</v>
      </c>
      <c r="K190" s="15">
        <f>IFERROR(__xludf.DUMMYFUNCTION("""COMPUTED_VALUE"""),0.0)</f>
        <v>0</v>
      </c>
      <c r="L190" s="14" t="b"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>
        <f>IFERROR(__xludf.DUMMYFUNCTION("""COMPUTED_VALUE"""),0.0)</f>
        <v>0</v>
      </c>
      <c r="K191" s="15">
        <f>IFERROR(__xludf.DUMMYFUNCTION("""COMPUTED_VALUE"""),0.0)</f>
        <v>0</v>
      </c>
      <c r="L191" s="14" t="b"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>
        <f>IFERROR(__xludf.DUMMYFUNCTION("""COMPUTED_VALUE"""),0.0)</f>
        <v>0</v>
      </c>
      <c r="K192" s="15">
        <f>IFERROR(__xludf.DUMMYFUNCTION("""COMPUTED_VALUE"""),0.0)</f>
        <v>0</v>
      </c>
      <c r="L192" s="14" t="b"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>
        <f>IFERROR(__xludf.DUMMYFUNCTION("""COMPUTED_VALUE"""),0.0)</f>
        <v>0</v>
      </c>
      <c r="K193" s="15">
        <f>IFERROR(__xludf.DUMMYFUNCTION("""COMPUTED_VALUE"""),0.0)</f>
        <v>0</v>
      </c>
      <c r="L193" s="14" t="b"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>
        <f>IFERROR(__xludf.DUMMYFUNCTION("""COMPUTED_VALUE"""),0.0)</f>
        <v>0</v>
      </c>
      <c r="K194" s="15">
        <f>IFERROR(__xludf.DUMMYFUNCTION("""COMPUTED_VALUE"""),0.0)</f>
        <v>0</v>
      </c>
      <c r="L194" s="14" t="b"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>
        <f>IFERROR(__xludf.DUMMYFUNCTION("""COMPUTED_VALUE"""),0.0)</f>
        <v>0</v>
      </c>
      <c r="K195" s="15">
        <f>IFERROR(__xludf.DUMMYFUNCTION("""COMPUTED_VALUE"""),0.0)</f>
        <v>0</v>
      </c>
      <c r="L195" s="14" t="b"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>
        <f>IFERROR(__xludf.DUMMYFUNCTION("""COMPUTED_VALUE"""),0.0)</f>
        <v>0</v>
      </c>
      <c r="K196" s="15">
        <f>IFERROR(__xludf.DUMMYFUNCTION("""COMPUTED_VALUE"""),0.0)</f>
        <v>0</v>
      </c>
      <c r="L196" s="14" t="b"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>
        <f>IFERROR(__xludf.DUMMYFUNCTION("""COMPUTED_VALUE"""),0.0)</f>
        <v>0</v>
      </c>
      <c r="K197" s="15">
        <f>IFERROR(__xludf.DUMMYFUNCTION("""COMPUTED_VALUE"""),0.0)</f>
        <v>0</v>
      </c>
      <c r="L197" s="14" t="b"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>
        <f>IFERROR(__xludf.DUMMYFUNCTION("""COMPUTED_VALUE"""),0.0)</f>
        <v>0</v>
      </c>
      <c r="K198" s="15">
        <f>IFERROR(__xludf.DUMMYFUNCTION("""COMPUTED_VALUE"""),0.0)</f>
        <v>0</v>
      </c>
      <c r="L198" s="14" t="b"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>
        <f>IFERROR(__xludf.DUMMYFUNCTION("""COMPUTED_VALUE"""),0.0)</f>
        <v>0</v>
      </c>
      <c r="K199" s="15">
        <f>IFERROR(__xludf.DUMMYFUNCTION("""COMPUTED_VALUE"""),0.0)</f>
        <v>0</v>
      </c>
      <c r="L199" s="14" t="b"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>
        <f>IFERROR(__xludf.DUMMYFUNCTION("""COMPUTED_VALUE"""),0.0)</f>
        <v>0</v>
      </c>
      <c r="K200" s="15">
        <f>IFERROR(__xludf.DUMMYFUNCTION("""COMPUTED_VALUE"""),0.0)</f>
        <v>0</v>
      </c>
      <c r="L200" s="14" t="b"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>
        <f>IFERROR(__xludf.DUMMYFUNCTION("""COMPUTED_VALUE"""),0.0)</f>
        <v>0</v>
      </c>
      <c r="K201" s="15">
        <f>IFERROR(__xludf.DUMMYFUNCTION("""COMPUTED_VALUE"""),0.0)</f>
        <v>0</v>
      </c>
      <c r="L201" s="14" t="b"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>
        <f>IFERROR(__xludf.DUMMYFUNCTION("""COMPUTED_VALUE"""),0.0)</f>
        <v>0</v>
      </c>
      <c r="K202" s="15">
        <f>IFERROR(__xludf.DUMMYFUNCTION("""COMPUTED_VALUE"""),0.0)</f>
        <v>0</v>
      </c>
      <c r="L202" s="14" t="b">
        <v>0</v>
      </c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>
        <f>IFERROR(__xludf.DUMMYFUNCTION("""COMPUTED_VALUE"""),0.0)</f>
        <v>0</v>
      </c>
      <c r="K203" s="15">
        <f>IFERROR(__xludf.DUMMYFUNCTION("""COMPUTED_VALUE"""),0.0)</f>
        <v>0</v>
      </c>
      <c r="L203" s="14" t="b">
        <v>0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>
        <f>IFERROR(__xludf.DUMMYFUNCTION("""COMPUTED_VALUE"""),0.0)</f>
        <v>0</v>
      </c>
      <c r="K204" s="15">
        <f>IFERROR(__xludf.DUMMYFUNCTION("""COMPUTED_VALUE"""),0.0)</f>
        <v>0</v>
      </c>
      <c r="L204" s="14" t="b">
        <v>0</v>
      </c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>
        <f>IFERROR(__xludf.DUMMYFUNCTION("""COMPUTED_VALUE"""),0.0)</f>
        <v>0</v>
      </c>
      <c r="K205" s="15">
        <f>IFERROR(__xludf.DUMMYFUNCTION("""COMPUTED_VALUE"""),0.0)</f>
        <v>0</v>
      </c>
      <c r="L205" s="14" t="b">
        <v>0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>
        <f>IFERROR(__xludf.DUMMYFUNCTION("""COMPUTED_VALUE"""),0.0)</f>
        <v>0</v>
      </c>
      <c r="K206" s="15">
        <f>IFERROR(__xludf.DUMMYFUNCTION("""COMPUTED_VALUE"""),0.0)</f>
        <v>0</v>
      </c>
      <c r="L206" s="14" t="b">
        <v>0</v>
      </c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>
        <f>IFERROR(__xludf.DUMMYFUNCTION("""COMPUTED_VALUE"""),0.0)</f>
        <v>0</v>
      </c>
      <c r="K207" s="15">
        <f>IFERROR(__xludf.DUMMYFUNCTION("""COMPUTED_VALUE"""),0.0)</f>
        <v>0</v>
      </c>
      <c r="L207" s="14" t="b">
        <v>0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>
        <f>IFERROR(__xludf.DUMMYFUNCTION("""COMPUTED_VALUE"""),0.0)</f>
        <v>0</v>
      </c>
      <c r="K208" s="15">
        <f>IFERROR(__xludf.DUMMYFUNCTION("""COMPUTED_VALUE"""),0.0)</f>
        <v>0</v>
      </c>
      <c r="L208" s="14" t="b">
        <v>0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>
        <f>IFERROR(__xludf.DUMMYFUNCTION("""COMPUTED_VALUE"""),0.0)</f>
        <v>0</v>
      </c>
      <c r="K209" s="15">
        <f>IFERROR(__xludf.DUMMYFUNCTION("""COMPUTED_VALUE"""),0.0)</f>
        <v>0</v>
      </c>
      <c r="L209" s="14" t="b">
        <v>0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>
        <f>IFERROR(__xludf.DUMMYFUNCTION("""COMPUTED_VALUE"""),0.0)</f>
        <v>0</v>
      </c>
      <c r="K210" s="15">
        <f>IFERROR(__xludf.DUMMYFUNCTION("""COMPUTED_VALUE"""),0.0)</f>
        <v>0</v>
      </c>
      <c r="L210" s="14" t="b">
        <v>0</v>
      </c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>
        <f>IFERROR(__xludf.DUMMYFUNCTION("""COMPUTED_VALUE"""),0.0)</f>
        <v>0</v>
      </c>
      <c r="K211" s="15">
        <f>IFERROR(__xludf.DUMMYFUNCTION("""COMPUTED_VALUE"""),0.0)</f>
        <v>0</v>
      </c>
      <c r="L211" s="14" t="b">
        <v>0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>
        <f>IFERROR(__xludf.DUMMYFUNCTION("""COMPUTED_VALUE"""),0.0)</f>
        <v>0</v>
      </c>
      <c r="K212" s="15">
        <f>IFERROR(__xludf.DUMMYFUNCTION("""COMPUTED_VALUE"""),0.0)</f>
        <v>0</v>
      </c>
      <c r="L212" s="14" t="b">
        <v>0</v>
      </c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>
        <f>IFERROR(__xludf.DUMMYFUNCTION("""COMPUTED_VALUE"""),0.0)</f>
        <v>0</v>
      </c>
      <c r="K213" s="15">
        <f>IFERROR(__xludf.DUMMYFUNCTION("""COMPUTED_VALUE"""),0.0)</f>
        <v>0</v>
      </c>
      <c r="L213" s="14" t="b">
        <v>0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>
        <f>IFERROR(__xludf.DUMMYFUNCTION("""COMPUTED_VALUE"""),0.0)</f>
        <v>0</v>
      </c>
      <c r="K214" s="15">
        <f>IFERROR(__xludf.DUMMYFUNCTION("""COMPUTED_VALUE"""),0.0)</f>
        <v>0</v>
      </c>
      <c r="L214" s="14" t="b">
        <v>0</v>
      </c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>
        <f>IFERROR(__xludf.DUMMYFUNCTION("""COMPUTED_VALUE"""),0.0)</f>
        <v>0</v>
      </c>
      <c r="K215" s="15">
        <f>IFERROR(__xludf.DUMMYFUNCTION("""COMPUTED_VALUE"""),0.0)</f>
        <v>0</v>
      </c>
      <c r="L215" s="14" t="b">
        <v>0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>
        <f>IFERROR(__xludf.DUMMYFUNCTION("""COMPUTED_VALUE"""),0.0)</f>
        <v>0</v>
      </c>
      <c r="K216" s="15">
        <f>IFERROR(__xludf.DUMMYFUNCTION("""COMPUTED_VALUE"""),0.0)</f>
        <v>0</v>
      </c>
      <c r="L216" s="14" t="b">
        <v>0</v>
      </c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>
        <f>IFERROR(__xludf.DUMMYFUNCTION("""COMPUTED_VALUE"""),0.0)</f>
        <v>0</v>
      </c>
      <c r="K217" s="15">
        <f>IFERROR(__xludf.DUMMYFUNCTION("""COMPUTED_VALUE"""),0.0)</f>
        <v>0</v>
      </c>
      <c r="L217" s="14" t="b">
        <v>0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>
        <f>IFERROR(__xludf.DUMMYFUNCTION("""COMPUTED_VALUE"""),0.0)</f>
        <v>0</v>
      </c>
      <c r="K218" s="15">
        <f>IFERROR(__xludf.DUMMYFUNCTION("""COMPUTED_VALUE"""),0.0)</f>
        <v>0</v>
      </c>
      <c r="L218" s="14" t="b">
        <v>0</v>
      </c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>
        <f>IFERROR(__xludf.DUMMYFUNCTION("""COMPUTED_VALUE"""),0.0)</f>
        <v>0</v>
      </c>
      <c r="K219" s="15">
        <f>IFERROR(__xludf.DUMMYFUNCTION("""COMPUTED_VALUE"""),0.0)</f>
        <v>0</v>
      </c>
      <c r="L219" s="14" t="b">
        <v>0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>
        <f>IFERROR(__xludf.DUMMYFUNCTION("""COMPUTED_VALUE"""),0.0)</f>
        <v>0</v>
      </c>
      <c r="K220" s="15">
        <f>IFERROR(__xludf.DUMMYFUNCTION("""COMPUTED_VALUE"""),0.0)</f>
        <v>0</v>
      </c>
      <c r="L220" s="14" t="b">
        <v>0</v>
      </c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>
        <f>IFERROR(__xludf.DUMMYFUNCTION("""COMPUTED_VALUE"""),0.0)</f>
        <v>0</v>
      </c>
      <c r="K221" s="15">
        <f>IFERROR(__xludf.DUMMYFUNCTION("""COMPUTED_VALUE"""),0.0)</f>
        <v>0</v>
      </c>
      <c r="L221" s="14" t="b">
        <v>0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>
        <f>IFERROR(__xludf.DUMMYFUNCTION("""COMPUTED_VALUE"""),0.0)</f>
        <v>0</v>
      </c>
      <c r="K222" s="15">
        <f>IFERROR(__xludf.DUMMYFUNCTION("""COMPUTED_VALUE"""),0.0)</f>
        <v>0</v>
      </c>
      <c r="L222" s="14" t="b">
        <v>0</v>
      </c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>
        <f>IFERROR(__xludf.DUMMYFUNCTION("""COMPUTED_VALUE"""),0.0)</f>
        <v>0</v>
      </c>
      <c r="K223" s="15">
        <f>IFERROR(__xludf.DUMMYFUNCTION("""COMPUTED_VALUE"""),0.0)</f>
        <v>0</v>
      </c>
      <c r="L223" s="14" t="b">
        <v>0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>
        <f>IFERROR(__xludf.DUMMYFUNCTION("""COMPUTED_VALUE"""),0.0)</f>
        <v>0</v>
      </c>
      <c r="K224" s="15">
        <f>IFERROR(__xludf.DUMMYFUNCTION("""COMPUTED_VALUE"""),0.0)</f>
        <v>0</v>
      </c>
      <c r="L224" s="14" t="b">
        <v>0</v>
      </c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>
        <f>IFERROR(__xludf.DUMMYFUNCTION("""COMPUTED_VALUE"""),0.0)</f>
        <v>0</v>
      </c>
      <c r="K225" s="15">
        <f>IFERROR(__xludf.DUMMYFUNCTION("""COMPUTED_VALUE"""),0.0)</f>
        <v>0</v>
      </c>
      <c r="L225" s="14" t="b">
        <v>0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>
        <f>IFERROR(__xludf.DUMMYFUNCTION("""COMPUTED_VALUE"""),0.0)</f>
        <v>0</v>
      </c>
      <c r="K226" s="15">
        <f>IFERROR(__xludf.DUMMYFUNCTION("""COMPUTED_VALUE"""),0.0)</f>
        <v>0</v>
      </c>
      <c r="L226" s="14" t="b">
        <v>0</v>
      </c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>
        <f>IFERROR(__xludf.DUMMYFUNCTION("""COMPUTED_VALUE"""),0.0)</f>
        <v>0</v>
      </c>
      <c r="K227" s="15">
        <f>IFERROR(__xludf.DUMMYFUNCTION("""COMPUTED_VALUE"""),0.0)</f>
        <v>0</v>
      </c>
      <c r="L227" s="14" t="b">
        <v>0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>
        <f>IFERROR(__xludf.DUMMYFUNCTION("""COMPUTED_VALUE"""),0.0)</f>
        <v>0</v>
      </c>
      <c r="K228" s="15">
        <f>IFERROR(__xludf.DUMMYFUNCTION("""COMPUTED_VALUE"""),0.0)</f>
        <v>0</v>
      </c>
      <c r="L228" s="14" t="b">
        <v>0</v>
      </c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>
        <f>IFERROR(__xludf.DUMMYFUNCTION("""COMPUTED_VALUE"""),0.0)</f>
        <v>0</v>
      </c>
      <c r="K229" s="15">
        <f>IFERROR(__xludf.DUMMYFUNCTION("""COMPUTED_VALUE"""),0.0)</f>
        <v>0</v>
      </c>
      <c r="L229" s="14" t="b">
        <v>0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>
        <f>IFERROR(__xludf.DUMMYFUNCTION("""COMPUTED_VALUE"""),0.0)</f>
        <v>0</v>
      </c>
      <c r="K230" s="15">
        <f>IFERROR(__xludf.DUMMYFUNCTION("""COMPUTED_VALUE"""),0.0)</f>
        <v>0</v>
      </c>
      <c r="L230" s="14" t="b">
        <v>0</v>
      </c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>
        <f>IFERROR(__xludf.DUMMYFUNCTION("""COMPUTED_VALUE"""),0.0)</f>
        <v>0</v>
      </c>
      <c r="K231" s="15">
        <f>IFERROR(__xludf.DUMMYFUNCTION("""COMPUTED_VALUE"""),0.0)</f>
        <v>0</v>
      </c>
      <c r="L231" s="14" t="b">
        <v>0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>
        <f>IFERROR(__xludf.DUMMYFUNCTION("""COMPUTED_VALUE"""),0.0)</f>
        <v>0</v>
      </c>
      <c r="K232" s="15">
        <f>IFERROR(__xludf.DUMMYFUNCTION("""COMPUTED_VALUE"""),0.0)</f>
        <v>0</v>
      </c>
      <c r="L232" s="14" t="b">
        <v>0</v>
      </c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>
        <f>IFERROR(__xludf.DUMMYFUNCTION("""COMPUTED_VALUE"""),0.0)</f>
        <v>0</v>
      </c>
      <c r="K233" s="15">
        <f>IFERROR(__xludf.DUMMYFUNCTION("""COMPUTED_VALUE"""),0.0)</f>
        <v>0</v>
      </c>
      <c r="L233" s="14" t="b">
        <v>0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>
        <f>IFERROR(__xludf.DUMMYFUNCTION("""COMPUTED_VALUE"""),0.0)</f>
        <v>0</v>
      </c>
      <c r="K234" s="15">
        <f>IFERROR(__xludf.DUMMYFUNCTION("""COMPUTED_VALUE"""),0.0)</f>
        <v>0</v>
      </c>
      <c r="L234" s="14" t="b">
        <v>0</v>
      </c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>
        <f>IFERROR(__xludf.DUMMYFUNCTION("""COMPUTED_VALUE"""),0.0)</f>
        <v>0</v>
      </c>
      <c r="K235" s="15">
        <f>IFERROR(__xludf.DUMMYFUNCTION("""COMPUTED_VALUE"""),0.0)</f>
        <v>0</v>
      </c>
      <c r="L235" s="14" t="b">
        <v>0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5">
        <f>IFERROR(__xludf.DUMMYFUNCTION("""COMPUTED_VALUE"""),0.0)</f>
        <v>0</v>
      </c>
      <c r="K236" s="15">
        <f>IFERROR(__xludf.DUMMYFUNCTION("""COMPUTED_VALUE"""),0.0)</f>
        <v>0</v>
      </c>
      <c r="L236" s="14" t="b">
        <v>0</v>
      </c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5">
        <f>IFERROR(__xludf.DUMMYFUNCTION("""COMPUTED_VALUE"""),0.0)</f>
        <v>0</v>
      </c>
      <c r="K237" s="15">
        <f>IFERROR(__xludf.DUMMYFUNCTION("""COMPUTED_VALUE"""),0.0)</f>
        <v>0</v>
      </c>
      <c r="L237" s="14" t="b">
        <v>0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5">
        <f>IFERROR(__xludf.DUMMYFUNCTION("""COMPUTED_VALUE"""),0.0)</f>
        <v>0</v>
      </c>
      <c r="K238" s="15">
        <f>IFERROR(__xludf.DUMMYFUNCTION("""COMPUTED_VALUE"""),0.0)</f>
        <v>0</v>
      </c>
      <c r="L238" s="14" t="b">
        <v>0</v>
      </c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5">
        <f>IFERROR(__xludf.DUMMYFUNCTION("""COMPUTED_VALUE"""),0.0)</f>
        <v>0</v>
      </c>
      <c r="K239" s="15">
        <f>IFERROR(__xludf.DUMMYFUNCTION("""COMPUTED_VALUE"""),0.0)</f>
        <v>0</v>
      </c>
      <c r="L239" s="14" t="b">
        <v>0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5">
        <f>IFERROR(__xludf.DUMMYFUNCTION("""COMPUTED_VALUE"""),0.0)</f>
        <v>0</v>
      </c>
      <c r="K240" s="15">
        <f>IFERROR(__xludf.DUMMYFUNCTION("""COMPUTED_VALUE"""),0.0)</f>
        <v>0</v>
      </c>
      <c r="L240" s="14" t="b">
        <v>0</v>
      </c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5">
        <f>IFERROR(__xludf.DUMMYFUNCTION("""COMPUTED_VALUE"""),0.0)</f>
        <v>0</v>
      </c>
      <c r="K241" s="15">
        <f>IFERROR(__xludf.DUMMYFUNCTION("""COMPUTED_VALUE"""),0.0)</f>
        <v>0</v>
      </c>
      <c r="L241" s="14" t="b">
        <v>0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5">
        <f>IFERROR(__xludf.DUMMYFUNCTION("""COMPUTED_VALUE"""),0.0)</f>
        <v>0</v>
      </c>
      <c r="K242" s="15">
        <f>IFERROR(__xludf.DUMMYFUNCTION("""COMPUTED_VALUE"""),0.0)</f>
        <v>0</v>
      </c>
      <c r="L242" s="14" t="b">
        <v>0</v>
      </c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5">
        <f>IFERROR(__xludf.DUMMYFUNCTION("""COMPUTED_VALUE"""),0.0)</f>
        <v>0</v>
      </c>
      <c r="K243" s="15">
        <f>IFERROR(__xludf.DUMMYFUNCTION("""COMPUTED_VALUE"""),0.0)</f>
        <v>0</v>
      </c>
      <c r="L243" s="14" t="b">
        <v>0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5">
        <f>IFERROR(__xludf.DUMMYFUNCTION("""COMPUTED_VALUE"""),0.0)</f>
        <v>0</v>
      </c>
      <c r="K244" s="15">
        <f>IFERROR(__xludf.DUMMYFUNCTION("""COMPUTED_VALUE"""),0.0)</f>
        <v>0</v>
      </c>
      <c r="L244" s="14" t="b">
        <v>0</v>
      </c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5">
        <f>IFERROR(__xludf.DUMMYFUNCTION("""COMPUTED_VALUE"""),0.0)</f>
        <v>0</v>
      </c>
      <c r="K245" s="15">
        <f>IFERROR(__xludf.DUMMYFUNCTION("""COMPUTED_VALUE"""),0.0)</f>
        <v>0</v>
      </c>
      <c r="L245" s="14" t="b">
        <v>0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5">
        <f>IFERROR(__xludf.DUMMYFUNCTION("""COMPUTED_VALUE"""),0.0)</f>
        <v>0</v>
      </c>
      <c r="K246" s="15">
        <f>IFERROR(__xludf.DUMMYFUNCTION("""COMPUTED_VALUE"""),0.0)</f>
        <v>0</v>
      </c>
      <c r="L246" s="14" t="b">
        <v>0</v>
      </c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5">
        <f>IFERROR(__xludf.DUMMYFUNCTION("""COMPUTED_VALUE"""),0.0)</f>
        <v>0</v>
      </c>
      <c r="K247" s="15">
        <f>IFERROR(__xludf.DUMMYFUNCTION("""COMPUTED_VALUE"""),0.0)</f>
        <v>0</v>
      </c>
      <c r="L247" s="14" t="b">
        <v>0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5">
        <f>IFERROR(__xludf.DUMMYFUNCTION("""COMPUTED_VALUE"""),0.0)</f>
        <v>0</v>
      </c>
      <c r="K248" s="15">
        <f>IFERROR(__xludf.DUMMYFUNCTION("""COMPUTED_VALUE"""),0.0)</f>
        <v>0</v>
      </c>
      <c r="L248" s="14" t="b">
        <v>0</v>
      </c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5">
        <f>IFERROR(__xludf.DUMMYFUNCTION("""COMPUTED_VALUE"""),0.0)</f>
        <v>0</v>
      </c>
      <c r="K249" s="15">
        <f>IFERROR(__xludf.DUMMYFUNCTION("""COMPUTED_VALUE"""),0.0)</f>
        <v>0</v>
      </c>
      <c r="L249" s="14" t="b">
        <v>0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5">
        <f>IFERROR(__xludf.DUMMYFUNCTION("""COMPUTED_VALUE"""),0.0)</f>
        <v>0</v>
      </c>
      <c r="K250" s="15">
        <f>IFERROR(__xludf.DUMMYFUNCTION("""COMPUTED_VALUE"""),0.0)</f>
        <v>0</v>
      </c>
      <c r="L250" s="14" t="b">
        <v>0</v>
      </c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5">
        <f>IFERROR(__xludf.DUMMYFUNCTION("""COMPUTED_VALUE"""),0.0)</f>
        <v>0</v>
      </c>
      <c r="K251" s="15">
        <f>IFERROR(__xludf.DUMMYFUNCTION("""COMPUTED_VALUE"""),0.0)</f>
        <v>0</v>
      </c>
      <c r="L251" s="14" t="b">
        <v>0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5">
        <f>IFERROR(__xludf.DUMMYFUNCTION("""COMPUTED_VALUE"""),0.0)</f>
        <v>0</v>
      </c>
      <c r="K252" s="15">
        <f>IFERROR(__xludf.DUMMYFUNCTION("""COMPUTED_VALUE"""),0.0)</f>
        <v>0</v>
      </c>
      <c r="L252" s="14" t="b">
        <v>0</v>
      </c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5">
        <f>IFERROR(__xludf.DUMMYFUNCTION("""COMPUTED_VALUE"""),0.0)</f>
        <v>0</v>
      </c>
      <c r="K253" s="15">
        <f>IFERROR(__xludf.DUMMYFUNCTION("""COMPUTED_VALUE"""),0.0)</f>
        <v>0</v>
      </c>
      <c r="L253" s="14" t="b">
        <v>0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5">
        <f>IFERROR(__xludf.DUMMYFUNCTION("""COMPUTED_VALUE"""),0.0)</f>
        <v>0</v>
      </c>
      <c r="K254" s="15">
        <f>IFERROR(__xludf.DUMMYFUNCTION("""COMPUTED_VALUE"""),0.0)</f>
        <v>0</v>
      </c>
      <c r="L254" s="14" t="b">
        <v>0</v>
      </c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5">
        <f>IFERROR(__xludf.DUMMYFUNCTION("""COMPUTED_VALUE"""),0.0)</f>
        <v>0</v>
      </c>
      <c r="K255" s="15">
        <f>IFERROR(__xludf.DUMMYFUNCTION("""COMPUTED_VALUE"""),0.0)</f>
        <v>0</v>
      </c>
      <c r="L255" s="14" t="b">
        <v>0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5">
        <f>IFERROR(__xludf.DUMMYFUNCTION("""COMPUTED_VALUE"""),0.0)</f>
        <v>0</v>
      </c>
      <c r="K256" s="15">
        <f>IFERROR(__xludf.DUMMYFUNCTION("""COMPUTED_VALUE"""),0.0)</f>
        <v>0</v>
      </c>
      <c r="L256" s="14" t="b">
        <v>0</v>
      </c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5">
        <f>IFERROR(__xludf.DUMMYFUNCTION("""COMPUTED_VALUE"""),0.0)</f>
        <v>0</v>
      </c>
      <c r="K257" s="15">
        <f>IFERROR(__xludf.DUMMYFUNCTION("""COMPUTED_VALUE"""),0.0)</f>
        <v>0</v>
      </c>
      <c r="L257" s="14" t="b">
        <v>0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5">
        <f>IFERROR(__xludf.DUMMYFUNCTION("""COMPUTED_VALUE"""),0.0)</f>
        <v>0</v>
      </c>
      <c r="K258" s="15">
        <f>IFERROR(__xludf.DUMMYFUNCTION("""COMPUTED_VALUE"""),0.0)</f>
        <v>0</v>
      </c>
      <c r="L258" s="14" t="b">
        <v>0</v>
      </c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5">
        <f>IFERROR(__xludf.DUMMYFUNCTION("""COMPUTED_VALUE"""),0.0)</f>
        <v>0</v>
      </c>
      <c r="K259" s="15">
        <f>IFERROR(__xludf.DUMMYFUNCTION("""COMPUTED_VALUE"""),0.0)</f>
        <v>0</v>
      </c>
      <c r="L259" s="14" t="b">
        <v>0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5">
        <f>IFERROR(__xludf.DUMMYFUNCTION("""COMPUTED_VALUE"""),0.0)</f>
        <v>0</v>
      </c>
      <c r="K260" s="15">
        <f>IFERROR(__xludf.DUMMYFUNCTION("""COMPUTED_VALUE"""),0.0)</f>
        <v>0</v>
      </c>
      <c r="L260" s="14" t="b">
        <v>0</v>
      </c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5">
        <f>IFERROR(__xludf.DUMMYFUNCTION("""COMPUTED_VALUE"""),0.0)</f>
        <v>0</v>
      </c>
      <c r="K261" s="15">
        <f>IFERROR(__xludf.DUMMYFUNCTION("""COMPUTED_VALUE"""),0.0)</f>
        <v>0</v>
      </c>
      <c r="L261" s="14" t="b">
        <v>0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5">
        <f>IFERROR(__xludf.DUMMYFUNCTION("""COMPUTED_VALUE"""),0.0)</f>
        <v>0</v>
      </c>
      <c r="K262" s="15">
        <f>IFERROR(__xludf.DUMMYFUNCTION("""COMPUTED_VALUE"""),0.0)</f>
        <v>0</v>
      </c>
      <c r="L262" s="14" t="b">
        <v>0</v>
      </c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5">
        <f>IFERROR(__xludf.DUMMYFUNCTION("""COMPUTED_VALUE"""),0.0)</f>
        <v>0</v>
      </c>
      <c r="K263" s="15">
        <f>IFERROR(__xludf.DUMMYFUNCTION("""COMPUTED_VALUE"""),0.0)</f>
        <v>0</v>
      </c>
      <c r="L263" s="14" t="b">
        <v>0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5">
        <f>IFERROR(__xludf.DUMMYFUNCTION("""COMPUTED_VALUE"""),0.0)</f>
        <v>0</v>
      </c>
      <c r="K264" s="15">
        <f>IFERROR(__xludf.DUMMYFUNCTION("""COMPUTED_VALUE"""),0.0)</f>
        <v>0</v>
      </c>
      <c r="L264" s="14" t="b">
        <v>0</v>
      </c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5">
        <f>IFERROR(__xludf.DUMMYFUNCTION("""COMPUTED_VALUE"""),0.0)</f>
        <v>0</v>
      </c>
      <c r="K265" s="15">
        <f>IFERROR(__xludf.DUMMYFUNCTION("""COMPUTED_VALUE"""),0.0)</f>
        <v>0</v>
      </c>
      <c r="L265" s="14" t="b">
        <v>0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5">
        <f>IFERROR(__xludf.DUMMYFUNCTION("""COMPUTED_VALUE"""),0.0)</f>
        <v>0</v>
      </c>
      <c r="K266" s="15">
        <f>IFERROR(__xludf.DUMMYFUNCTION("""COMPUTED_VALUE"""),0.0)</f>
        <v>0</v>
      </c>
      <c r="L266" s="14" t="b">
        <v>0</v>
      </c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5">
        <f>IFERROR(__xludf.DUMMYFUNCTION("""COMPUTED_VALUE"""),0.0)</f>
        <v>0</v>
      </c>
      <c r="K267" s="15">
        <f>IFERROR(__xludf.DUMMYFUNCTION("""COMPUTED_VALUE"""),0.0)</f>
        <v>0</v>
      </c>
      <c r="L267" s="14" t="b">
        <v>0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5">
        <f>IFERROR(__xludf.DUMMYFUNCTION("""COMPUTED_VALUE"""),0.0)</f>
        <v>0</v>
      </c>
      <c r="K268" s="15">
        <f>IFERROR(__xludf.DUMMYFUNCTION("""COMPUTED_VALUE"""),0.0)</f>
        <v>0</v>
      </c>
      <c r="L268" s="14" t="b">
        <v>0</v>
      </c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5">
        <f>IFERROR(__xludf.DUMMYFUNCTION("""COMPUTED_VALUE"""),0.0)</f>
        <v>0</v>
      </c>
      <c r="K269" s="15">
        <f>IFERROR(__xludf.DUMMYFUNCTION("""COMPUTED_VALUE"""),0.0)</f>
        <v>0</v>
      </c>
      <c r="L269" s="14" t="b">
        <v>0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5">
        <f>IFERROR(__xludf.DUMMYFUNCTION("""COMPUTED_VALUE"""),0.0)</f>
        <v>0</v>
      </c>
      <c r="K270" s="15">
        <f>IFERROR(__xludf.DUMMYFUNCTION("""COMPUTED_VALUE"""),0.0)</f>
        <v>0</v>
      </c>
      <c r="L270" s="14" t="b">
        <v>0</v>
      </c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5">
        <f>IFERROR(__xludf.DUMMYFUNCTION("""COMPUTED_VALUE"""),0.0)</f>
        <v>0</v>
      </c>
      <c r="K271" s="15">
        <f>IFERROR(__xludf.DUMMYFUNCTION("""COMPUTED_VALUE"""),0.0)</f>
        <v>0</v>
      </c>
      <c r="L271" s="14" t="b">
        <v>0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5">
        <f>IFERROR(__xludf.DUMMYFUNCTION("""COMPUTED_VALUE"""),0.0)</f>
        <v>0</v>
      </c>
      <c r="K272" s="15">
        <f>IFERROR(__xludf.DUMMYFUNCTION("""COMPUTED_VALUE"""),0.0)</f>
        <v>0</v>
      </c>
      <c r="L272" s="14" t="b">
        <v>0</v>
      </c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5">
        <f>IFERROR(__xludf.DUMMYFUNCTION("""COMPUTED_VALUE"""),0.0)</f>
        <v>0</v>
      </c>
      <c r="K273" s="15">
        <f>IFERROR(__xludf.DUMMYFUNCTION("""COMPUTED_VALUE"""),0.0)</f>
        <v>0</v>
      </c>
      <c r="L273" s="14" t="b">
        <v>0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5">
        <f>IFERROR(__xludf.DUMMYFUNCTION("""COMPUTED_VALUE"""),0.0)</f>
        <v>0</v>
      </c>
      <c r="K274" s="15">
        <f>IFERROR(__xludf.DUMMYFUNCTION("""COMPUTED_VALUE"""),0.0)</f>
        <v>0</v>
      </c>
      <c r="L274" s="14" t="b">
        <v>0</v>
      </c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5">
        <f>IFERROR(__xludf.DUMMYFUNCTION("""COMPUTED_VALUE"""),0.0)</f>
        <v>0</v>
      </c>
      <c r="K275" s="15">
        <f>IFERROR(__xludf.DUMMYFUNCTION("""COMPUTED_VALUE"""),0.0)</f>
        <v>0</v>
      </c>
      <c r="L275" s="14" t="b">
        <v>0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5">
        <f>IFERROR(__xludf.DUMMYFUNCTION("""COMPUTED_VALUE"""),0.0)</f>
        <v>0</v>
      </c>
      <c r="K276" s="15">
        <f>IFERROR(__xludf.DUMMYFUNCTION("""COMPUTED_VALUE"""),0.0)</f>
        <v>0</v>
      </c>
      <c r="L276" s="14" t="b">
        <v>0</v>
      </c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5">
        <f>IFERROR(__xludf.DUMMYFUNCTION("""COMPUTED_VALUE"""),0.0)</f>
        <v>0</v>
      </c>
      <c r="K277" s="15">
        <f>IFERROR(__xludf.DUMMYFUNCTION("""COMPUTED_VALUE"""),0.0)</f>
        <v>0</v>
      </c>
      <c r="L277" s="14" t="b">
        <v>0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5">
        <f>IFERROR(__xludf.DUMMYFUNCTION("""COMPUTED_VALUE"""),0.0)</f>
        <v>0</v>
      </c>
      <c r="K278" s="15">
        <f>IFERROR(__xludf.DUMMYFUNCTION("""COMPUTED_VALUE"""),0.0)</f>
        <v>0</v>
      </c>
      <c r="L278" s="14" t="b">
        <v>0</v>
      </c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5">
        <f>IFERROR(__xludf.DUMMYFUNCTION("""COMPUTED_VALUE"""),0.0)</f>
        <v>0</v>
      </c>
      <c r="K279" s="15">
        <f>IFERROR(__xludf.DUMMYFUNCTION("""COMPUTED_VALUE"""),0.0)</f>
        <v>0</v>
      </c>
      <c r="L279" s="14" t="b">
        <v>0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5">
        <f>IFERROR(__xludf.DUMMYFUNCTION("""COMPUTED_VALUE"""),0.0)</f>
        <v>0</v>
      </c>
      <c r="K280" s="15">
        <f>IFERROR(__xludf.DUMMYFUNCTION("""COMPUTED_VALUE"""),0.0)</f>
        <v>0</v>
      </c>
      <c r="L280" s="14" t="b">
        <v>0</v>
      </c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5">
        <f>IFERROR(__xludf.DUMMYFUNCTION("""COMPUTED_VALUE"""),0.0)</f>
        <v>0</v>
      </c>
      <c r="K281" s="15">
        <f>IFERROR(__xludf.DUMMYFUNCTION("""COMPUTED_VALUE"""),0.0)</f>
        <v>0</v>
      </c>
      <c r="L281" s="14" t="b">
        <v>0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5">
        <f>IFERROR(__xludf.DUMMYFUNCTION("""COMPUTED_VALUE"""),0.0)</f>
        <v>0</v>
      </c>
      <c r="K282" s="15">
        <f>IFERROR(__xludf.DUMMYFUNCTION("""COMPUTED_VALUE"""),0.0)</f>
        <v>0</v>
      </c>
      <c r="L282" s="14" t="b">
        <v>0</v>
      </c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5">
        <f>IFERROR(__xludf.DUMMYFUNCTION("""COMPUTED_VALUE"""),0.0)</f>
        <v>0</v>
      </c>
      <c r="K283" s="15">
        <f>IFERROR(__xludf.DUMMYFUNCTION("""COMPUTED_VALUE"""),0.0)</f>
        <v>0</v>
      </c>
      <c r="L283" s="14" t="b">
        <v>0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5">
        <f>IFERROR(__xludf.DUMMYFUNCTION("""COMPUTED_VALUE"""),0.0)</f>
        <v>0</v>
      </c>
      <c r="K284" s="15">
        <f>IFERROR(__xludf.DUMMYFUNCTION("""COMPUTED_VALUE"""),0.0)</f>
        <v>0</v>
      </c>
      <c r="L284" s="14" t="b">
        <v>0</v>
      </c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5">
        <f>IFERROR(__xludf.DUMMYFUNCTION("""COMPUTED_VALUE"""),0.0)</f>
        <v>0</v>
      </c>
      <c r="K285" s="15">
        <f>IFERROR(__xludf.DUMMYFUNCTION("""COMPUTED_VALUE"""),0.0)</f>
        <v>0</v>
      </c>
      <c r="L285" s="14" t="b">
        <v>0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5">
        <f>IFERROR(__xludf.DUMMYFUNCTION("""COMPUTED_VALUE"""),0.0)</f>
        <v>0</v>
      </c>
      <c r="K286" s="15">
        <f>IFERROR(__xludf.DUMMYFUNCTION("""COMPUTED_VALUE"""),0.0)</f>
        <v>0</v>
      </c>
      <c r="L286" s="14" t="b">
        <v>0</v>
      </c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5">
        <f>IFERROR(__xludf.DUMMYFUNCTION("""COMPUTED_VALUE"""),0.0)</f>
        <v>0</v>
      </c>
      <c r="K287" s="15">
        <f>IFERROR(__xludf.DUMMYFUNCTION("""COMPUTED_VALUE"""),0.0)</f>
        <v>0</v>
      </c>
      <c r="L287" s="14" t="b">
        <v>0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5">
        <f>IFERROR(__xludf.DUMMYFUNCTION("""COMPUTED_VALUE"""),0.0)</f>
        <v>0</v>
      </c>
      <c r="K288" s="15">
        <f>IFERROR(__xludf.DUMMYFUNCTION("""COMPUTED_VALUE"""),0.0)</f>
        <v>0</v>
      </c>
      <c r="L288" s="14" t="b">
        <v>0</v>
      </c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5">
        <f>IFERROR(__xludf.DUMMYFUNCTION("""COMPUTED_VALUE"""),0.0)</f>
        <v>0</v>
      </c>
      <c r="K289" s="15">
        <f>IFERROR(__xludf.DUMMYFUNCTION("""COMPUTED_VALUE"""),0.0)</f>
        <v>0</v>
      </c>
      <c r="L289" s="14" t="b">
        <v>0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5">
        <f>IFERROR(__xludf.DUMMYFUNCTION("""COMPUTED_VALUE"""),0.0)</f>
        <v>0</v>
      </c>
      <c r="K290" s="15">
        <f>IFERROR(__xludf.DUMMYFUNCTION("""COMPUTED_VALUE"""),0.0)</f>
        <v>0</v>
      </c>
      <c r="L290" s="14" t="b">
        <v>0</v>
      </c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5">
        <f>IFERROR(__xludf.DUMMYFUNCTION("""COMPUTED_VALUE"""),0.0)</f>
        <v>0</v>
      </c>
      <c r="K291" s="15">
        <f>IFERROR(__xludf.DUMMYFUNCTION("""COMPUTED_VALUE"""),0.0)</f>
        <v>0</v>
      </c>
      <c r="L291" s="14" t="b">
        <v>0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5">
        <f>IFERROR(__xludf.DUMMYFUNCTION("""COMPUTED_VALUE"""),0.0)</f>
        <v>0</v>
      </c>
      <c r="K292" s="15">
        <f>IFERROR(__xludf.DUMMYFUNCTION("""COMPUTED_VALUE"""),0.0)</f>
        <v>0</v>
      </c>
      <c r="L292" s="14" t="b">
        <v>0</v>
      </c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5">
        <f>IFERROR(__xludf.DUMMYFUNCTION("""COMPUTED_VALUE"""),0.0)</f>
        <v>0</v>
      </c>
      <c r="K293" s="15">
        <f>IFERROR(__xludf.DUMMYFUNCTION("""COMPUTED_VALUE"""),0.0)</f>
        <v>0</v>
      </c>
      <c r="L293" s="14" t="b">
        <v>0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5">
        <f>IFERROR(__xludf.DUMMYFUNCTION("""COMPUTED_VALUE"""),0.0)</f>
        <v>0</v>
      </c>
      <c r="K294" s="15">
        <f>IFERROR(__xludf.DUMMYFUNCTION("""COMPUTED_VALUE"""),0.0)</f>
        <v>0</v>
      </c>
      <c r="L294" s="14" t="b">
        <v>0</v>
      </c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5">
        <f>IFERROR(__xludf.DUMMYFUNCTION("""COMPUTED_VALUE"""),0.0)</f>
        <v>0</v>
      </c>
      <c r="K295" s="15">
        <f>IFERROR(__xludf.DUMMYFUNCTION("""COMPUTED_VALUE"""),0.0)</f>
        <v>0</v>
      </c>
      <c r="L295" s="14" t="b">
        <v>0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5">
        <f>IFERROR(__xludf.DUMMYFUNCTION("""COMPUTED_VALUE"""),0.0)</f>
        <v>0</v>
      </c>
      <c r="K296" s="15">
        <f>IFERROR(__xludf.DUMMYFUNCTION("""COMPUTED_VALUE"""),0.0)</f>
        <v>0</v>
      </c>
      <c r="L296" s="14" t="b">
        <v>0</v>
      </c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5">
        <f>IFERROR(__xludf.DUMMYFUNCTION("""COMPUTED_VALUE"""),0.0)</f>
        <v>0</v>
      </c>
      <c r="K297" s="15">
        <f>IFERROR(__xludf.DUMMYFUNCTION("""COMPUTED_VALUE"""),0.0)</f>
        <v>0</v>
      </c>
      <c r="L297" s="14" t="b">
        <v>0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5">
        <f>IFERROR(__xludf.DUMMYFUNCTION("""COMPUTED_VALUE"""),0.0)</f>
        <v>0</v>
      </c>
      <c r="K298" s="15">
        <f>IFERROR(__xludf.DUMMYFUNCTION("""COMPUTED_VALUE"""),0.0)</f>
        <v>0</v>
      </c>
      <c r="L298" s="14" t="b">
        <v>0</v>
      </c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5">
        <f>IFERROR(__xludf.DUMMYFUNCTION("""COMPUTED_VALUE"""),0.0)</f>
        <v>0</v>
      </c>
      <c r="K299" s="15">
        <f>IFERROR(__xludf.DUMMYFUNCTION("""COMPUTED_VALUE"""),0.0)</f>
        <v>0</v>
      </c>
      <c r="L299" s="14" t="b">
        <v>0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5">
        <f>IFERROR(__xludf.DUMMYFUNCTION("""COMPUTED_VALUE"""),0.0)</f>
        <v>0</v>
      </c>
      <c r="K300" s="15">
        <f>IFERROR(__xludf.DUMMYFUNCTION("""COMPUTED_VALUE"""),0.0)</f>
        <v>0</v>
      </c>
      <c r="L300" s="14" t="b">
        <v>0</v>
      </c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5">
        <f>IFERROR(__xludf.DUMMYFUNCTION("""COMPUTED_VALUE"""),0.0)</f>
        <v>0</v>
      </c>
      <c r="K301" s="15">
        <f>IFERROR(__xludf.DUMMYFUNCTION("""COMPUTED_VALUE"""),0.0)</f>
        <v>0</v>
      </c>
      <c r="L301" s="14" t="b">
        <v>0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5">
        <f>IFERROR(__xludf.DUMMYFUNCTION("""COMPUTED_VALUE"""),0.0)</f>
        <v>0</v>
      </c>
      <c r="K302" s="15">
        <f>IFERROR(__xludf.DUMMYFUNCTION("""COMPUTED_VALUE"""),0.0)</f>
        <v>0</v>
      </c>
      <c r="L302" s="14" t="b">
        <v>0</v>
      </c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5">
        <f>IFERROR(__xludf.DUMMYFUNCTION("""COMPUTED_VALUE"""),0.0)</f>
        <v>0</v>
      </c>
      <c r="K303" s="15">
        <f>IFERROR(__xludf.DUMMYFUNCTION("""COMPUTED_VALUE"""),0.0)</f>
        <v>0</v>
      </c>
      <c r="L303" s="14" t="b">
        <v>0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5">
        <f>IFERROR(__xludf.DUMMYFUNCTION("""COMPUTED_VALUE"""),0.0)</f>
        <v>0</v>
      </c>
      <c r="K304" s="15">
        <f>IFERROR(__xludf.DUMMYFUNCTION("""COMPUTED_VALUE"""),0.0)</f>
        <v>0</v>
      </c>
      <c r="L304" s="14" t="b">
        <v>0</v>
      </c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5">
        <f>IFERROR(__xludf.DUMMYFUNCTION("""COMPUTED_VALUE"""),0.0)</f>
        <v>0</v>
      </c>
      <c r="K305" s="15">
        <f>IFERROR(__xludf.DUMMYFUNCTION("""COMPUTED_VALUE"""),0.0)</f>
        <v>0</v>
      </c>
      <c r="L305" s="14" t="b">
        <v>0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5">
        <f>IFERROR(__xludf.DUMMYFUNCTION("""COMPUTED_VALUE"""),0.0)</f>
        <v>0</v>
      </c>
      <c r="K306" s="15">
        <f>IFERROR(__xludf.DUMMYFUNCTION("""COMPUTED_VALUE"""),0.0)</f>
        <v>0</v>
      </c>
      <c r="L306" s="14" t="b">
        <v>0</v>
      </c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5">
        <f>IFERROR(__xludf.DUMMYFUNCTION("""COMPUTED_VALUE"""),0.0)</f>
        <v>0</v>
      </c>
      <c r="K307" s="15">
        <f>IFERROR(__xludf.DUMMYFUNCTION("""COMPUTED_VALUE"""),0.0)</f>
        <v>0</v>
      </c>
      <c r="L307" s="14" t="b">
        <v>0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5">
        <f>IFERROR(__xludf.DUMMYFUNCTION("""COMPUTED_VALUE"""),0.0)</f>
        <v>0</v>
      </c>
      <c r="K308" s="15">
        <f>IFERROR(__xludf.DUMMYFUNCTION("""COMPUTED_VALUE"""),0.0)</f>
        <v>0</v>
      </c>
      <c r="L308" s="14" t="b">
        <v>0</v>
      </c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5">
        <f>IFERROR(__xludf.DUMMYFUNCTION("""COMPUTED_VALUE"""),0.0)</f>
        <v>0</v>
      </c>
      <c r="K309" s="15">
        <f>IFERROR(__xludf.DUMMYFUNCTION("""COMPUTED_VALUE"""),0.0)</f>
        <v>0</v>
      </c>
      <c r="L309" s="14" t="b">
        <v>0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5">
        <f>IFERROR(__xludf.DUMMYFUNCTION("""COMPUTED_VALUE"""),0.0)</f>
        <v>0</v>
      </c>
      <c r="K310" s="15">
        <f>IFERROR(__xludf.DUMMYFUNCTION("""COMPUTED_VALUE"""),0.0)</f>
        <v>0</v>
      </c>
      <c r="L310" s="14" t="b">
        <v>0</v>
      </c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5">
        <f>IFERROR(__xludf.DUMMYFUNCTION("""COMPUTED_VALUE"""),0.0)</f>
        <v>0</v>
      </c>
      <c r="K311" s="15">
        <f>IFERROR(__xludf.DUMMYFUNCTION("""COMPUTED_VALUE"""),0.0)</f>
        <v>0</v>
      </c>
      <c r="L311" s="14" t="b">
        <v>0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5">
        <f>IFERROR(__xludf.DUMMYFUNCTION("""COMPUTED_VALUE"""),0.0)</f>
        <v>0</v>
      </c>
      <c r="K312" s="15">
        <f>IFERROR(__xludf.DUMMYFUNCTION("""COMPUTED_VALUE"""),0.0)</f>
        <v>0</v>
      </c>
      <c r="L312" s="14" t="b">
        <v>0</v>
      </c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5">
        <f>IFERROR(__xludf.DUMMYFUNCTION("""COMPUTED_VALUE"""),0.0)</f>
        <v>0</v>
      </c>
      <c r="K313" s="15">
        <f>IFERROR(__xludf.DUMMYFUNCTION("""COMPUTED_VALUE"""),0.0)</f>
        <v>0</v>
      </c>
      <c r="L313" s="14" t="b">
        <v>0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5">
        <f>IFERROR(__xludf.DUMMYFUNCTION("""COMPUTED_VALUE"""),0.0)</f>
        <v>0</v>
      </c>
      <c r="K314" s="15">
        <f>IFERROR(__xludf.DUMMYFUNCTION("""COMPUTED_VALUE"""),0.0)</f>
        <v>0</v>
      </c>
      <c r="L314" s="14" t="b">
        <v>0</v>
      </c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5">
        <f>IFERROR(__xludf.DUMMYFUNCTION("""COMPUTED_VALUE"""),0.0)</f>
        <v>0</v>
      </c>
      <c r="K315" s="15">
        <f>IFERROR(__xludf.DUMMYFUNCTION("""COMPUTED_VALUE"""),0.0)</f>
        <v>0</v>
      </c>
      <c r="L315" s="14" t="b">
        <v>0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5">
        <f>IFERROR(__xludf.DUMMYFUNCTION("""COMPUTED_VALUE"""),0.0)</f>
        <v>0</v>
      </c>
      <c r="K316" s="15">
        <f>IFERROR(__xludf.DUMMYFUNCTION("""COMPUTED_VALUE"""),0.0)</f>
        <v>0</v>
      </c>
      <c r="L316" s="14" t="b">
        <v>0</v>
      </c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5">
        <f>IFERROR(__xludf.DUMMYFUNCTION("""COMPUTED_VALUE"""),0.0)</f>
        <v>0</v>
      </c>
      <c r="K317" s="15">
        <f>IFERROR(__xludf.DUMMYFUNCTION("""COMPUTED_VALUE"""),0.0)</f>
        <v>0</v>
      </c>
      <c r="L317" s="14" t="b">
        <v>0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5">
        <f>IFERROR(__xludf.DUMMYFUNCTION("""COMPUTED_VALUE"""),0.0)</f>
        <v>0</v>
      </c>
      <c r="K318" s="15">
        <f>IFERROR(__xludf.DUMMYFUNCTION("""COMPUTED_VALUE"""),0.0)</f>
        <v>0</v>
      </c>
      <c r="L318" s="14" t="b">
        <v>0</v>
      </c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5">
        <f>IFERROR(__xludf.DUMMYFUNCTION("""COMPUTED_VALUE"""),0.0)</f>
        <v>0</v>
      </c>
      <c r="K319" s="15">
        <f>IFERROR(__xludf.DUMMYFUNCTION("""COMPUTED_VALUE"""),0.0)</f>
        <v>0</v>
      </c>
      <c r="L319" s="14" t="b">
        <v>0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5">
        <f>IFERROR(__xludf.DUMMYFUNCTION("""COMPUTED_VALUE"""),0.0)</f>
        <v>0</v>
      </c>
      <c r="K320" s="15">
        <f>IFERROR(__xludf.DUMMYFUNCTION("""COMPUTED_VALUE"""),0.0)</f>
        <v>0</v>
      </c>
      <c r="L320" s="14" t="b">
        <v>0</v>
      </c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5">
        <f>IFERROR(__xludf.DUMMYFUNCTION("""COMPUTED_VALUE"""),0.0)</f>
        <v>0</v>
      </c>
      <c r="K321" s="15">
        <f>IFERROR(__xludf.DUMMYFUNCTION("""COMPUTED_VALUE"""),0.0)</f>
        <v>0</v>
      </c>
      <c r="L321" s="14" t="b">
        <v>0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5">
        <f>IFERROR(__xludf.DUMMYFUNCTION("""COMPUTED_VALUE"""),0.0)</f>
        <v>0</v>
      </c>
      <c r="K322" s="15">
        <f>IFERROR(__xludf.DUMMYFUNCTION("""COMPUTED_VALUE"""),0.0)</f>
        <v>0</v>
      </c>
      <c r="L322" s="14" t="b">
        <v>0</v>
      </c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5">
        <f>IFERROR(__xludf.DUMMYFUNCTION("""COMPUTED_VALUE"""),0.0)</f>
        <v>0</v>
      </c>
      <c r="K323" s="15">
        <f>IFERROR(__xludf.DUMMYFUNCTION("""COMPUTED_VALUE"""),0.0)</f>
        <v>0</v>
      </c>
      <c r="L323" s="14" t="b">
        <v>0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5">
        <f>IFERROR(__xludf.DUMMYFUNCTION("""COMPUTED_VALUE"""),0.0)</f>
        <v>0</v>
      </c>
      <c r="K324" s="15">
        <f>IFERROR(__xludf.DUMMYFUNCTION("""COMPUTED_VALUE"""),0.0)</f>
        <v>0</v>
      </c>
      <c r="L324" s="14" t="b">
        <v>0</v>
      </c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5">
        <f>IFERROR(__xludf.DUMMYFUNCTION("""COMPUTED_VALUE"""),0.0)</f>
        <v>0</v>
      </c>
      <c r="K325" s="15">
        <f>IFERROR(__xludf.DUMMYFUNCTION("""COMPUTED_VALUE"""),0.0)</f>
        <v>0</v>
      </c>
      <c r="L325" s="14" t="b">
        <v>0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5">
        <f>IFERROR(__xludf.DUMMYFUNCTION("""COMPUTED_VALUE"""),0.0)</f>
        <v>0</v>
      </c>
      <c r="K326" s="15">
        <f>IFERROR(__xludf.DUMMYFUNCTION("""COMPUTED_VALUE"""),0.0)</f>
        <v>0</v>
      </c>
      <c r="L326" s="14" t="b">
        <v>0</v>
      </c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5">
        <f>IFERROR(__xludf.DUMMYFUNCTION("""COMPUTED_VALUE"""),0.0)</f>
        <v>0</v>
      </c>
      <c r="K327" s="15">
        <f>IFERROR(__xludf.DUMMYFUNCTION("""COMPUTED_VALUE"""),0.0)</f>
        <v>0</v>
      </c>
      <c r="L327" s="14" t="b">
        <v>0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5">
        <f>IFERROR(__xludf.DUMMYFUNCTION("""COMPUTED_VALUE"""),0.0)</f>
        <v>0</v>
      </c>
      <c r="K328" s="15">
        <f>IFERROR(__xludf.DUMMYFUNCTION("""COMPUTED_VALUE"""),0.0)</f>
        <v>0</v>
      </c>
      <c r="L328" s="14" t="b">
        <v>0</v>
      </c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5">
        <f>IFERROR(__xludf.DUMMYFUNCTION("""COMPUTED_VALUE"""),0.0)</f>
        <v>0</v>
      </c>
      <c r="K329" s="15">
        <f>IFERROR(__xludf.DUMMYFUNCTION("""COMPUTED_VALUE"""),0.0)</f>
        <v>0</v>
      </c>
      <c r="L329" s="14" t="b">
        <v>0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5">
        <f>IFERROR(__xludf.DUMMYFUNCTION("""COMPUTED_VALUE"""),0.0)</f>
        <v>0</v>
      </c>
      <c r="K330" s="15">
        <f>IFERROR(__xludf.DUMMYFUNCTION("""COMPUTED_VALUE"""),0.0)</f>
        <v>0</v>
      </c>
      <c r="L330" s="14" t="b">
        <v>0</v>
      </c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5">
        <f>IFERROR(__xludf.DUMMYFUNCTION("""COMPUTED_VALUE"""),0.0)</f>
        <v>0</v>
      </c>
      <c r="K331" s="15">
        <f>IFERROR(__xludf.DUMMYFUNCTION("""COMPUTED_VALUE"""),0.0)</f>
        <v>0</v>
      </c>
      <c r="L331" s="14" t="b">
        <v>0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5">
        <f>IFERROR(__xludf.DUMMYFUNCTION("""COMPUTED_VALUE"""),0.0)</f>
        <v>0</v>
      </c>
      <c r="K332" s="15">
        <f>IFERROR(__xludf.DUMMYFUNCTION("""COMPUTED_VALUE"""),0.0)</f>
        <v>0</v>
      </c>
      <c r="L332" s="14" t="b">
        <v>0</v>
      </c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5">
        <f>IFERROR(__xludf.DUMMYFUNCTION("""COMPUTED_VALUE"""),0.0)</f>
        <v>0</v>
      </c>
      <c r="K333" s="15">
        <f>IFERROR(__xludf.DUMMYFUNCTION("""COMPUTED_VALUE"""),0.0)</f>
        <v>0</v>
      </c>
      <c r="L333" s="14" t="b">
        <v>0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5">
        <f>IFERROR(__xludf.DUMMYFUNCTION("""COMPUTED_VALUE"""),0.0)</f>
        <v>0</v>
      </c>
      <c r="K334" s="15">
        <f>IFERROR(__xludf.DUMMYFUNCTION("""COMPUTED_VALUE"""),0.0)</f>
        <v>0</v>
      </c>
      <c r="L334" s="14" t="b">
        <v>0</v>
      </c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5">
        <f>IFERROR(__xludf.DUMMYFUNCTION("""COMPUTED_VALUE"""),0.0)</f>
        <v>0</v>
      </c>
      <c r="K335" s="15">
        <f>IFERROR(__xludf.DUMMYFUNCTION("""COMPUTED_VALUE"""),0.0)</f>
        <v>0</v>
      </c>
      <c r="L335" s="14" t="b">
        <v>0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5">
        <f>IFERROR(__xludf.DUMMYFUNCTION("""COMPUTED_VALUE"""),0.0)</f>
        <v>0</v>
      </c>
      <c r="K336" s="15">
        <f>IFERROR(__xludf.DUMMYFUNCTION("""COMPUTED_VALUE"""),0.0)</f>
        <v>0</v>
      </c>
      <c r="L336" s="14" t="b">
        <v>0</v>
      </c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5">
        <f>IFERROR(__xludf.DUMMYFUNCTION("""COMPUTED_VALUE"""),0.0)</f>
        <v>0</v>
      </c>
      <c r="K337" s="15">
        <f>IFERROR(__xludf.DUMMYFUNCTION("""COMPUTED_VALUE"""),0.0)</f>
        <v>0</v>
      </c>
      <c r="L337" s="14" t="b">
        <v>0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5">
        <f>IFERROR(__xludf.DUMMYFUNCTION("""COMPUTED_VALUE"""),0.0)</f>
        <v>0</v>
      </c>
      <c r="K338" s="15">
        <f>IFERROR(__xludf.DUMMYFUNCTION("""COMPUTED_VALUE"""),0.0)</f>
        <v>0</v>
      </c>
      <c r="L338" s="14" t="b">
        <v>0</v>
      </c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5">
        <f>IFERROR(__xludf.DUMMYFUNCTION("""COMPUTED_VALUE"""),0.0)</f>
        <v>0</v>
      </c>
      <c r="K339" s="15">
        <f>IFERROR(__xludf.DUMMYFUNCTION("""COMPUTED_VALUE"""),0.0)</f>
        <v>0</v>
      </c>
      <c r="L339" s="14" t="b">
        <v>0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5">
        <f>IFERROR(__xludf.DUMMYFUNCTION("""COMPUTED_VALUE"""),0.0)</f>
        <v>0</v>
      </c>
      <c r="K340" s="15">
        <f>IFERROR(__xludf.DUMMYFUNCTION("""COMPUTED_VALUE"""),0.0)</f>
        <v>0</v>
      </c>
      <c r="L340" s="14" t="b">
        <v>0</v>
      </c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5">
        <f>IFERROR(__xludf.DUMMYFUNCTION("""COMPUTED_VALUE"""),0.0)</f>
        <v>0</v>
      </c>
      <c r="K341" s="15">
        <f>IFERROR(__xludf.DUMMYFUNCTION("""COMPUTED_VALUE"""),0.0)</f>
        <v>0</v>
      </c>
      <c r="L341" s="14" t="b">
        <v>0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5">
        <f>IFERROR(__xludf.DUMMYFUNCTION("""COMPUTED_VALUE"""),0.0)</f>
        <v>0</v>
      </c>
      <c r="K342" s="15">
        <f>IFERROR(__xludf.DUMMYFUNCTION("""COMPUTED_VALUE"""),0.0)</f>
        <v>0</v>
      </c>
      <c r="L342" s="14" t="b">
        <v>0</v>
      </c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5">
        <f>IFERROR(__xludf.DUMMYFUNCTION("""COMPUTED_VALUE"""),0.0)</f>
        <v>0</v>
      </c>
      <c r="K343" s="15">
        <f>IFERROR(__xludf.DUMMYFUNCTION("""COMPUTED_VALUE"""),0.0)</f>
        <v>0</v>
      </c>
      <c r="L343" s="14" t="b">
        <v>0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5">
        <f>IFERROR(__xludf.DUMMYFUNCTION("""COMPUTED_VALUE"""),0.0)</f>
        <v>0</v>
      </c>
      <c r="K344" s="15">
        <f>IFERROR(__xludf.DUMMYFUNCTION("""COMPUTED_VALUE"""),0.0)</f>
        <v>0</v>
      </c>
      <c r="L344" s="14" t="b">
        <v>0</v>
      </c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5">
        <f>IFERROR(__xludf.DUMMYFUNCTION("""COMPUTED_VALUE"""),0.0)</f>
        <v>0</v>
      </c>
      <c r="K345" s="15">
        <f>IFERROR(__xludf.DUMMYFUNCTION("""COMPUTED_VALUE"""),0.0)</f>
        <v>0</v>
      </c>
      <c r="L345" s="14" t="b">
        <v>0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5">
        <f>IFERROR(__xludf.DUMMYFUNCTION("""COMPUTED_VALUE"""),0.0)</f>
        <v>0</v>
      </c>
      <c r="K346" s="15">
        <f>IFERROR(__xludf.DUMMYFUNCTION("""COMPUTED_VALUE"""),0.0)</f>
        <v>0</v>
      </c>
      <c r="L346" s="14" t="b">
        <v>0</v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5">
        <f>IFERROR(__xludf.DUMMYFUNCTION("""COMPUTED_VALUE"""),0.0)</f>
        <v>0</v>
      </c>
      <c r="K347" s="15">
        <f>IFERROR(__xludf.DUMMYFUNCTION("""COMPUTED_VALUE"""),0.0)</f>
        <v>0</v>
      </c>
      <c r="L347" s="14" t="b">
        <v>0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5">
        <f>IFERROR(__xludf.DUMMYFUNCTION("""COMPUTED_VALUE"""),0.0)</f>
        <v>0</v>
      </c>
      <c r="K348" s="15">
        <f>IFERROR(__xludf.DUMMYFUNCTION("""COMPUTED_VALUE"""),0.0)</f>
        <v>0</v>
      </c>
      <c r="L348" s="14" t="b">
        <v>0</v>
      </c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5">
        <f>IFERROR(__xludf.DUMMYFUNCTION("""COMPUTED_VALUE"""),0.0)</f>
        <v>0</v>
      </c>
      <c r="K349" s="15">
        <f>IFERROR(__xludf.DUMMYFUNCTION("""COMPUTED_VALUE"""),0.0)</f>
        <v>0</v>
      </c>
      <c r="L349" s="14" t="b">
        <v>0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5">
        <f>IFERROR(__xludf.DUMMYFUNCTION("""COMPUTED_VALUE"""),0.0)</f>
        <v>0</v>
      </c>
      <c r="K350" s="15">
        <f>IFERROR(__xludf.DUMMYFUNCTION("""COMPUTED_VALUE"""),0.0)</f>
        <v>0</v>
      </c>
      <c r="L350" s="14" t="b">
        <v>0</v>
      </c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5">
        <f>IFERROR(__xludf.DUMMYFUNCTION("""COMPUTED_VALUE"""),0.0)</f>
        <v>0</v>
      </c>
      <c r="K351" s="15">
        <f>IFERROR(__xludf.DUMMYFUNCTION("""COMPUTED_VALUE"""),0.0)</f>
        <v>0</v>
      </c>
      <c r="L351" s="14" t="b">
        <v>0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5">
        <f>IFERROR(__xludf.DUMMYFUNCTION("""COMPUTED_VALUE"""),0.0)</f>
        <v>0</v>
      </c>
      <c r="K352" s="15">
        <f>IFERROR(__xludf.DUMMYFUNCTION("""COMPUTED_VALUE"""),0.0)</f>
        <v>0</v>
      </c>
      <c r="L352" s="14" t="b">
        <v>0</v>
      </c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5">
        <f>IFERROR(__xludf.DUMMYFUNCTION("""COMPUTED_VALUE"""),0.0)</f>
        <v>0</v>
      </c>
      <c r="K353" s="15">
        <f>IFERROR(__xludf.DUMMYFUNCTION("""COMPUTED_VALUE"""),0.0)</f>
        <v>0</v>
      </c>
      <c r="L353" s="14" t="b">
        <v>0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5">
        <f>IFERROR(__xludf.DUMMYFUNCTION("""COMPUTED_VALUE"""),0.0)</f>
        <v>0</v>
      </c>
      <c r="K354" s="15">
        <f>IFERROR(__xludf.DUMMYFUNCTION("""COMPUTED_VALUE"""),0.0)</f>
        <v>0</v>
      </c>
      <c r="L354" s="14" t="b">
        <v>0</v>
      </c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5">
        <f>IFERROR(__xludf.DUMMYFUNCTION("""COMPUTED_VALUE"""),0.0)</f>
        <v>0</v>
      </c>
      <c r="K355" s="15">
        <f>IFERROR(__xludf.DUMMYFUNCTION("""COMPUTED_VALUE"""),0.0)</f>
        <v>0</v>
      </c>
      <c r="L355" s="14" t="b">
        <v>0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5">
        <f>IFERROR(__xludf.DUMMYFUNCTION("""COMPUTED_VALUE"""),0.0)</f>
        <v>0</v>
      </c>
      <c r="K356" s="15">
        <f>IFERROR(__xludf.DUMMYFUNCTION("""COMPUTED_VALUE"""),0.0)</f>
        <v>0</v>
      </c>
      <c r="L356" s="14" t="b">
        <v>0</v>
      </c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5">
        <f>IFERROR(__xludf.DUMMYFUNCTION("""COMPUTED_VALUE"""),0.0)</f>
        <v>0</v>
      </c>
      <c r="K357" s="15">
        <f>IFERROR(__xludf.DUMMYFUNCTION("""COMPUTED_VALUE"""),0.0)</f>
        <v>0</v>
      </c>
      <c r="L357" s="14" t="b">
        <v>0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5">
        <f>IFERROR(__xludf.DUMMYFUNCTION("""COMPUTED_VALUE"""),0.0)</f>
        <v>0</v>
      </c>
      <c r="K358" s="15">
        <f>IFERROR(__xludf.DUMMYFUNCTION("""COMPUTED_VALUE"""),0.0)</f>
        <v>0</v>
      </c>
      <c r="L358" s="14" t="b">
        <v>0</v>
      </c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5">
        <f>IFERROR(__xludf.DUMMYFUNCTION("""COMPUTED_VALUE"""),0.0)</f>
        <v>0</v>
      </c>
      <c r="K359" s="15">
        <f>IFERROR(__xludf.DUMMYFUNCTION("""COMPUTED_VALUE"""),0.0)</f>
        <v>0</v>
      </c>
      <c r="L359" s="14" t="b">
        <v>0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5">
        <f>IFERROR(__xludf.DUMMYFUNCTION("""COMPUTED_VALUE"""),0.0)</f>
        <v>0</v>
      </c>
      <c r="K360" s="15">
        <f>IFERROR(__xludf.DUMMYFUNCTION("""COMPUTED_VALUE"""),0.0)</f>
        <v>0</v>
      </c>
      <c r="L360" s="14" t="b">
        <v>0</v>
      </c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5">
        <f>IFERROR(__xludf.DUMMYFUNCTION("""COMPUTED_VALUE"""),0.0)</f>
        <v>0</v>
      </c>
      <c r="K361" s="15">
        <f>IFERROR(__xludf.DUMMYFUNCTION("""COMPUTED_VALUE"""),0.0)</f>
        <v>0</v>
      </c>
      <c r="L361" s="14" t="b">
        <v>0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5">
        <f>IFERROR(__xludf.DUMMYFUNCTION("""COMPUTED_VALUE"""),0.0)</f>
        <v>0</v>
      </c>
      <c r="K362" s="15">
        <f>IFERROR(__xludf.DUMMYFUNCTION("""COMPUTED_VALUE"""),0.0)</f>
        <v>0</v>
      </c>
      <c r="L362" s="14" t="b">
        <v>0</v>
      </c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5">
        <f>IFERROR(__xludf.DUMMYFUNCTION("""COMPUTED_VALUE"""),0.0)</f>
        <v>0</v>
      </c>
      <c r="K363" s="15">
        <f>IFERROR(__xludf.DUMMYFUNCTION("""COMPUTED_VALUE"""),0.0)</f>
        <v>0</v>
      </c>
      <c r="L363" s="14" t="b">
        <v>0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5">
        <f>IFERROR(__xludf.DUMMYFUNCTION("""COMPUTED_VALUE"""),0.0)</f>
        <v>0</v>
      </c>
      <c r="K364" s="15">
        <f>IFERROR(__xludf.DUMMYFUNCTION("""COMPUTED_VALUE"""),0.0)</f>
        <v>0</v>
      </c>
      <c r="L364" s="14" t="b">
        <v>0</v>
      </c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5">
        <f>IFERROR(__xludf.DUMMYFUNCTION("""COMPUTED_VALUE"""),0.0)</f>
        <v>0</v>
      </c>
      <c r="K365" s="15">
        <f>IFERROR(__xludf.DUMMYFUNCTION("""COMPUTED_VALUE"""),0.0)</f>
        <v>0</v>
      </c>
      <c r="L365" s="14" t="b">
        <v>0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5">
        <f>IFERROR(__xludf.DUMMYFUNCTION("""COMPUTED_VALUE"""),0.0)</f>
        <v>0</v>
      </c>
      <c r="K366" s="15">
        <f>IFERROR(__xludf.DUMMYFUNCTION("""COMPUTED_VALUE"""),0.0)</f>
        <v>0</v>
      </c>
      <c r="L366" s="14" t="b">
        <v>0</v>
      </c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5">
        <f>IFERROR(__xludf.DUMMYFUNCTION("""COMPUTED_VALUE"""),0.0)</f>
        <v>0</v>
      </c>
      <c r="K367" s="15">
        <f>IFERROR(__xludf.DUMMYFUNCTION("""COMPUTED_VALUE"""),0.0)</f>
        <v>0</v>
      </c>
      <c r="L367" s="14" t="b">
        <v>0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5">
        <f>IFERROR(__xludf.DUMMYFUNCTION("""COMPUTED_VALUE"""),0.0)</f>
        <v>0</v>
      </c>
      <c r="K368" s="15">
        <f>IFERROR(__xludf.DUMMYFUNCTION("""COMPUTED_VALUE"""),0.0)</f>
        <v>0</v>
      </c>
      <c r="L368" s="14" t="b">
        <v>0</v>
      </c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5">
        <f>IFERROR(__xludf.DUMMYFUNCTION("""COMPUTED_VALUE"""),0.0)</f>
        <v>0</v>
      </c>
      <c r="K369" s="15">
        <f>IFERROR(__xludf.DUMMYFUNCTION("""COMPUTED_VALUE"""),0.0)</f>
        <v>0</v>
      </c>
      <c r="L369" s="14" t="b">
        <v>0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5">
        <f>IFERROR(__xludf.DUMMYFUNCTION("""COMPUTED_VALUE"""),0.0)</f>
        <v>0</v>
      </c>
      <c r="K370" s="15">
        <f>IFERROR(__xludf.DUMMYFUNCTION("""COMPUTED_VALUE"""),0.0)</f>
        <v>0</v>
      </c>
      <c r="L370" s="14" t="b">
        <v>0</v>
      </c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5">
        <f>IFERROR(__xludf.DUMMYFUNCTION("""COMPUTED_VALUE"""),0.0)</f>
        <v>0</v>
      </c>
      <c r="K371" s="15">
        <f>IFERROR(__xludf.DUMMYFUNCTION("""COMPUTED_VALUE"""),0.0)</f>
        <v>0</v>
      </c>
      <c r="L371" s="14" t="b">
        <v>0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5">
        <f>IFERROR(__xludf.DUMMYFUNCTION("""COMPUTED_VALUE"""),0.0)</f>
        <v>0</v>
      </c>
      <c r="K372" s="15">
        <f>IFERROR(__xludf.DUMMYFUNCTION("""COMPUTED_VALUE"""),0.0)</f>
        <v>0</v>
      </c>
      <c r="L372" s="14" t="b">
        <v>0</v>
      </c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5">
        <f>IFERROR(__xludf.DUMMYFUNCTION("""COMPUTED_VALUE"""),0.0)</f>
        <v>0</v>
      </c>
      <c r="K373" s="15">
        <f>IFERROR(__xludf.DUMMYFUNCTION("""COMPUTED_VALUE"""),0.0)</f>
        <v>0</v>
      </c>
      <c r="L373" s="14" t="b">
        <v>0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5">
        <f>IFERROR(__xludf.DUMMYFUNCTION("""COMPUTED_VALUE"""),0.0)</f>
        <v>0</v>
      </c>
      <c r="K374" s="15">
        <f>IFERROR(__xludf.DUMMYFUNCTION("""COMPUTED_VALUE"""),0.0)</f>
        <v>0</v>
      </c>
      <c r="L374" s="14" t="b">
        <v>0</v>
      </c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5">
        <f>IFERROR(__xludf.DUMMYFUNCTION("""COMPUTED_VALUE"""),0.0)</f>
        <v>0</v>
      </c>
      <c r="K375" s="15">
        <f>IFERROR(__xludf.DUMMYFUNCTION("""COMPUTED_VALUE"""),0.0)</f>
        <v>0</v>
      </c>
      <c r="L375" s="14" t="b">
        <v>0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5">
        <f>IFERROR(__xludf.DUMMYFUNCTION("""COMPUTED_VALUE"""),0.0)</f>
        <v>0</v>
      </c>
      <c r="K376" s="15">
        <f>IFERROR(__xludf.DUMMYFUNCTION("""COMPUTED_VALUE"""),0.0)</f>
        <v>0</v>
      </c>
      <c r="L376" s="14" t="b">
        <v>0</v>
      </c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5">
        <f>IFERROR(__xludf.DUMMYFUNCTION("""COMPUTED_VALUE"""),0.0)</f>
        <v>0</v>
      </c>
      <c r="K377" s="15">
        <f>IFERROR(__xludf.DUMMYFUNCTION("""COMPUTED_VALUE"""),0.0)</f>
        <v>0</v>
      </c>
      <c r="L377" s="14" t="b">
        <v>0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5">
        <f>IFERROR(__xludf.DUMMYFUNCTION("""COMPUTED_VALUE"""),0.0)</f>
        <v>0</v>
      </c>
      <c r="K378" s="15">
        <f>IFERROR(__xludf.DUMMYFUNCTION("""COMPUTED_VALUE"""),0.0)</f>
        <v>0</v>
      </c>
      <c r="L378" s="14" t="b">
        <v>0</v>
      </c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5">
        <f>IFERROR(__xludf.DUMMYFUNCTION("""COMPUTED_VALUE"""),0.0)</f>
        <v>0</v>
      </c>
      <c r="K379" s="15">
        <f>IFERROR(__xludf.DUMMYFUNCTION("""COMPUTED_VALUE"""),0.0)</f>
        <v>0</v>
      </c>
      <c r="L379" s="14" t="b">
        <v>0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5">
        <f>IFERROR(__xludf.DUMMYFUNCTION("""COMPUTED_VALUE"""),0.0)</f>
        <v>0</v>
      </c>
      <c r="K380" s="15">
        <f>IFERROR(__xludf.DUMMYFUNCTION("""COMPUTED_VALUE"""),0.0)</f>
        <v>0</v>
      </c>
      <c r="L380" s="14" t="b">
        <v>0</v>
      </c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5">
        <f>IFERROR(__xludf.DUMMYFUNCTION("""COMPUTED_VALUE"""),0.0)</f>
        <v>0</v>
      </c>
      <c r="K381" s="15">
        <f>IFERROR(__xludf.DUMMYFUNCTION("""COMPUTED_VALUE"""),0.0)</f>
        <v>0</v>
      </c>
      <c r="L381" s="14" t="b">
        <v>0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5">
        <f>IFERROR(__xludf.DUMMYFUNCTION("""COMPUTED_VALUE"""),0.0)</f>
        <v>0</v>
      </c>
      <c r="K382" s="15">
        <f>IFERROR(__xludf.DUMMYFUNCTION("""COMPUTED_VALUE"""),0.0)</f>
        <v>0</v>
      </c>
      <c r="L382" s="14" t="b">
        <v>0</v>
      </c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5">
        <f>IFERROR(__xludf.DUMMYFUNCTION("""COMPUTED_VALUE"""),0.0)</f>
        <v>0</v>
      </c>
      <c r="K383" s="15">
        <f>IFERROR(__xludf.DUMMYFUNCTION("""COMPUTED_VALUE"""),0.0)</f>
        <v>0</v>
      </c>
      <c r="L383" s="14" t="b">
        <v>0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5">
        <f>IFERROR(__xludf.DUMMYFUNCTION("""COMPUTED_VALUE"""),0.0)</f>
        <v>0</v>
      </c>
      <c r="K384" s="15">
        <f>IFERROR(__xludf.DUMMYFUNCTION("""COMPUTED_VALUE"""),0.0)</f>
        <v>0</v>
      </c>
      <c r="L384" s="14" t="b">
        <v>0</v>
      </c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5">
        <f>IFERROR(__xludf.DUMMYFUNCTION("""COMPUTED_VALUE"""),0.0)</f>
        <v>0</v>
      </c>
      <c r="K385" s="15">
        <f>IFERROR(__xludf.DUMMYFUNCTION("""COMPUTED_VALUE"""),0.0)</f>
        <v>0</v>
      </c>
      <c r="L385" s="14" t="b">
        <v>0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5">
        <f>IFERROR(__xludf.DUMMYFUNCTION("""COMPUTED_VALUE"""),0.0)</f>
        <v>0</v>
      </c>
      <c r="K386" s="15">
        <f>IFERROR(__xludf.DUMMYFUNCTION("""COMPUTED_VALUE"""),0.0)</f>
        <v>0</v>
      </c>
      <c r="L386" s="14" t="b">
        <v>0</v>
      </c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5">
        <f>IFERROR(__xludf.DUMMYFUNCTION("""COMPUTED_VALUE"""),0.0)</f>
        <v>0</v>
      </c>
      <c r="K387" s="15">
        <f>IFERROR(__xludf.DUMMYFUNCTION("""COMPUTED_VALUE"""),0.0)</f>
        <v>0</v>
      </c>
      <c r="L387" s="14" t="b">
        <v>0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5">
        <f>IFERROR(__xludf.DUMMYFUNCTION("""COMPUTED_VALUE"""),0.0)</f>
        <v>0</v>
      </c>
      <c r="K388" s="15">
        <f>IFERROR(__xludf.DUMMYFUNCTION("""COMPUTED_VALUE"""),0.0)</f>
        <v>0</v>
      </c>
      <c r="L388" s="14" t="b">
        <v>0</v>
      </c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5">
        <f>IFERROR(__xludf.DUMMYFUNCTION("""COMPUTED_VALUE"""),0.0)</f>
        <v>0</v>
      </c>
      <c r="K389" s="15">
        <f>IFERROR(__xludf.DUMMYFUNCTION("""COMPUTED_VALUE"""),0.0)</f>
        <v>0</v>
      </c>
      <c r="L389" s="14" t="b">
        <v>0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5">
        <f>IFERROR(__xludf.DUMMYFUNCTION("""COMPUTED_VALUE"""),0.0)</f>
        <v>0</v>
      </c>
      <c r="K390" s="15">
        <f>IFERROR(__xludf.DUMMYFUNCTION("""COMPUTED_VALUE"""),0.0)</f>
        <v>0</v>
      </c>
      <c r="L390" s="14" t="b">
        <v>0</v>
      </c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5">
        <f>IFERROR(__xludf.DUMMYFUNCTION("""COMPUTED_VALUE"""),0.0)</f>
        <v>0</v>
      </c>
      <c r="K391" s="15">
        <f>IFERROR(__xludf.DUMMYFUNCTION("""COMPUTED_VALUE"""),0.0)</f>
        <v>0</v>
      </c>
      <c r="L391" s="14" t="b">
        <v>0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5">
        <f>IFERROR(__xludf.DUMMYFUNCTION("""COMPUTED_VALUE"""),0.0)</f>
        <v>0</v>
      </c>
      <c r="K392" s="15">
        <f>IFERROR(__xludf.DUMMYFUNCTION("""COMPUTED_VALUE"""),0.0)</f>
        <v>0</v>
      </c>
      <c r="L392" s="14" t="b">
        <v>0</v>
      </c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5">
        <f>IFERROR(__xludf.DUMMYFUNCTION("""COMPUTED_VALUE"""),0.0)</f>
        <v>0</v>
      </c>
      <c r="K393" s="15">
        <f>IFERROR(__xludf.DUMMYFUNCTION("""COMPUTED_VALUE"""),0.0)</f>
        <v>0</v>
      </c>
      <c r="L393" s="14" t="b">
        <v>0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5">
        <f>IFERROR(__xludf.DUMMYFUNCTION("""COMPUTED_VALUE"""),0.0)</f>
        <v>0</v>
      </c>
      <c r="K394" s="15">
        <f>IFERROR(__xludf.DUMMYFUNCTION("""COMPUTED_VALUE"""),0.0)</f>
        <v>0</v>
      </c>
      <c r="L394" s="14" t="b">
        <v>0</v>
      </c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5">
        <f>IFERROR(__xludf.DUMMYFUNCTION("""COMPUTED_VALUE"""),0.0)</f>
        <v>0</v>
      </c>
      <c r="K395" s="15">
        <f>IFERROR(__xludf.DUMMYFUNCTION("""COMPUTED_VALUE"""),0.0)</f>
        <v>0</v>
      </c>
      <c r="L395" s="14" t="b">
        <v>0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5">
        <f>IFERROR(__xludf.DUMMYFUNCTION("""COMPUTED_VALUE"""),0.0)</f>
        <v>0</v>
      </c>
      <c r="K396" s="15">
        <f>IFERROR(__xludf.DUMMYFUNCTION("""COMPUTED_VALUE"""),0.0)</f>
        <v>0</v>
      </c>
      <c r="L396" s="14" t="b">
        <v>0</v>
      </c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5">
        <f>IFERROR(__xludf.DUMMYFUNCTION("""COMPUTED_VALUE"""),0.0)</f>
        <v>0</v>
      </c>
      <c r="K397" s="15">
        <f>IFERROR(__xludf.DUMMYFUNCTION("""COMPUTED_VALUE"""),0.0)</f>
        <v>0</v>
      </c>
      <c r="L397" s="14" t="b">
        <v>0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5">
        <f>IFERROR(__xludf.DUMMYFUNCTION("""COMPUTED_VALUE"""),0.0)</f>
        <v>0</v>
      </c>
      <c r="K398" s="15">
        <f>IFERROR(__xludf.DUMMYFUNCTION("""COMPUTED_VALUE"""),0.0)</f>
        <v>0</v>
      </c>
      <c r="L398" s="14" t="b">
        <v>0</v>
      </c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5">
        <f>IFERROR(__xludf.DUMMYFUNCTION("""COMPUTED_VALUE"""),0.0)</f>
        <v>0</v>
      </c>
      <c r="K399" s="15">
        <f>IFERROR(__xludf.DUMMYFUNCTION("""COMPUTED_VALUE"""),0.0)</f>
        <v>0</v>
      </c>
      <c r="L399" s="14" t="b">
        <v>0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5">
        <f>IFERROR(__xludf.DUMMYFUNCTION("""COMPUTED_VALUE"""),0.0)</f>
        <v>0</v>
      </c>
      <c r="K400" s="15">
        <f>IFERROR(__xludf.DUMMYFUNCTION("""COMPUTED_VALUE"""),0.0)</f>
        <v>0</v>
      </c>
      <c r="L400" s="14" t="b">
        <v>0</v>
      </c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25"/>
  </cols>
  <sheetData>
    <row r="1">
      <c r="A1" s="14" t="str">
        <f>IFERROR(__xludf.DUMMYFUNCTION("IMPORTRANGE(""https://docs.google.com/spreadsheets/d/1eO365hmI2Nm9_YssKGka92teOkoRD0uzSnM0r31D7ek/edit?pli=1#gid=606377111"",""2026 James!A:k"")"),"Job #")</f>
        <v>Job #</v>
      </c>
      <c r="B1" s="14" t="str">
        <f>IFERROR(__xludf.DUMMYFUNCTION("""COMPUTED_VALUE"""),"Name")</f>
        <v>Name</v>
      </c>
      <c r="C1" s="14" t="str">
        <f>IFERROR(__xludf.DUMMYFUNCTION("""COMPUTED_VALUE"""),"Paid in Full")</f>
        <v>Paid in Full</v>
      </c>
      <c r="D1" s="14" t="str">
        <f>IFERROR(__xludf.DUMMYFUNCTION("""COMPUTED_VALUE"""),"GP %")</f>
        <v>GP %</v>
      </c>
      <c r="E1" s="14" t="str">
        <f>IFERROR(__xludf.DUMMYFUNCTION("""COMPUTED_VALUE"""),"Contract")</f>
        <v>Contract</v>
      </c>
      <c r="F1" s="14" t="str">
        <f>IFERROR(__xludf.DUMMYFUNCTION("""COMPUTED_VALUE"""),"Change Orders")</f>
        <v>Change Orders</v>
      </c>
      <c r="G1" s="15" t="str">
        <f>IFERROR(__xludf.DUMMYFUNCTION("""COMPUTED_VALUE"""),"Invoiced")</f>
        <v>Invoiced</v>
      </c>
      <c r="H1" s="14" t="str">
        <f>IFERROR(__xludf.DUMMYFUNCTION("""COMPUTED_VALUE"""),"Amount Paid")</f>
        <v>Amount Paid</v>
      </c>
      <c r="I1" s="15" t="str">
        <f>IFERROR(__xludf.DUMMYFUNCTION("""COMPUTED_VALUE"""),"Expected Commission")</f>
        <v>Expected Commission</v>
      </c>
      <c r="J1" s="15" t="str">
        <f>IFERROR(__xludf.DUMMYFUNCTION("""COMPUTED_VALUE"""),"Commission Paid")</f>
        <v>Commission Paid</v>
      </c>
      <c r="K1" s="15" t="str">
        <f>IFERROR(__xludf.DUMMYFUNCTION("""COMPUTED_VALUE"""),"Commission Owed")</f>
        <v>Commission Owed</v>
      </c>
      <c r="L1" s="16" t="s">
        <v>55</v>
      </c>
    </row>
    <row r="2">
      <c r="A2" s="17">
        <f>IFERROR(__xludf.DUMMYFUNCTION("""COMPUTED_VALUE"""),2.0265003E7)</f>
        <v>20265003</v>
      </c>
      <c r="B2" s="17" t="str">
        <f>IFERROR(__xludf.DUMMYFUNCTION("""COMPUTED_VALUE"""),"Marshall Wagner")</f>
        <v>Marshall Wagner</v>
      </c>
      <c r="C2" s="17" t="b">
        <f>IFERROR(__xludf.DUMMYFUNCTION("""COMPUTED_VALUE"""),TRUE)</f>
        <v>1</v>
      </c>
      <c r="D2" s="18">
        <f>IFERROR(__xludf.DUMMYFUNCTION("""COMPUTED_VALUE"""),0.4126828443392238)</f>
        <v>0.4126828443</v>
      </c>
      <c r="E2" s="19">
        <f>IFERROR(__xludf.DUMMYFUNCTION("""COMPUTED_VALUE"""),1182.7)</f>
        <v>1182.7</v>
      </c>
      <c r="F2" s="19">
        <f>IFERROR(__xludf.DUMMYFUNCTION("""COMPUTED_VALUE"""),0.0)</f>
        <v>0</v>
      </c>
      <c r="G2" s="19">
        <f>IFERROR(__xludf.DUMMYFUNCTION("""COMPUTED_VALUE"""),1182.7)</f>
        <v>1182.7</v>
      </c>
      <c r="H2" s="19">
        <f>IFERROR(__xludf.DUMMYFUNCTION("""COMPUTED_VALUE"""),1182.7)</f>
        <v>1182.7</v>
      </c>
      <c r="I2" s="19">
        <f>IFERROR(__xludf.DUMMYFUNCTION("""COMPUTED_VALUE"""),118.27000000000001)</f>
        <v>118.27</v>
      </c>
      <c r="J2" s="19">
        <f>IFERROR(__xludf.DUMMYFUNCTION("""COMPUTED_VALUE"""),118.27)</f>
        <v>118.27</v>
      </c>
      <c r="K2" s="19">
        <f>IFERROR(__xludf.DUMMYFUNCTION("""COMPUTED_VALUE"""),0.0)</f>
        <v>0</v>
      </c>
      <c r="L2" s="20" t="b">
        <v>0</v>
      </c>
    </row>
    <row r="3">
      <c r="A3" s="14">
        <f>IFERROR(__xludf.DUMMYFUNCTION("""COMPUTED_VALUE"""),2.0265004E7)</f>
        <v>20265004</v>
      </c>
      <c r="B3" s="14" t="str">
        <f>IFERROR(__xludf.DUMMYFUNCTION("""COMPUTED_VALUE"""),"Donald Mcghee")</f>
        <v>Donald Mcghee</v>
      </c>
      <c r="C3" s="14" t="b">
        <f>IFERROR(__xludf.DUMMYFUNCTION("""COMPUTED_VALUE"""),FALSE)</f>
        <v>0</v>
      </c>
      <c r="D3" s="23">
        <f>IFERROR(__xludf.DUMMYFUNCTION("""COMPUTED_VALUE"""),-0.003403962365180308)</f>
        <v>-0.003403962365</v>
      </c>
      <c r="E3" s="15">
        <f>IFERROR(__xludf.DUMMYFUNCTION("""COMPUTED_VALUE"""),522.92)</f>
        <v>522.92</v>
      </c>
      <c r="F3" s="15">
        <f>IFERROR(__xludf.DUMMYFUNCTION("""COMPUTED_VALUE"""),0.0)</f>
        <v>0</v>
      </c>
      <c r="G3" s="15">
        <f>IFERROR(__xludf.DUMMYFUNCTION("""COMPUTED_VALUE"""),809.77)</f>
        <v>809.77</v>
      </c>
      <c r="H3" s="15">
        <f>IFERROR(__xludf.DUMMYFUNCTION("""COMPUTED_VALUE"""),0.0)</f>
        <v>0</v>
      </c>
      <c r="I3" s="15">
        <f>IFERROR(__xludf.DUMMYFUNCTION("""COMPUTED_VALUE"""),52.292)</f>
        <v>52.292</v>
      </c>
      <c r="J3" s="15">
        <f>IFERROR(__xludf.DUMMYFUNCTION("""COMPUTED_VALUE"""),0.0)</f>
        <v>0</v>
      </c>
      <c r="K3" s="15">
        <f>IFERROR(__xludf.DUMMYFUNCTION("""COMPUTED_VALUE"""),0.0)</f>
        <v>0</v>
      </c>
      <c r="L3" s="14" t="b">
        <v>0</v>
      </c>
    </row>
    <row r="4">
      <c r="A4" s="17">
        <f>IFERROR(__xludf.DUMMYFUNCTION("""COMPUTED_VALUE"""),2.0265005E7)</f>
        <v>20265005</v>
      </c>
      <c r="B4" s="17" t="str">
        <f>IFERROR(__xludf.DUMMYFUNCTION("""COMPUTED_VALUE"""),"Shari Dill")</f>
        <v>Shari Dill</v>
      </c>
      <c r="C4" s="17" t="b">
        <f>IFERROR(__xludf.DUMMYFUNCTION("""COMPUTED_VALUE"""),TRUE)</f>
        <v>1</v>
      </c>
      <c r="D4" s="23">
        <f>IFERROR(__xludf.DUMMYFUNCTION("""COMPUTED_VALUE"""),0.2618304798447721)</f>
        <v>0.2618304798</v>
      </c>
      <c r="E4" s="19">
        <f>IFERROR(__xludf.DUMMYFUNCTION("""COMPUTED_VALUE"""),2746.93)</f>
        <v>2746.93</v>
      </c>
      <c r="F4" s="19">
        <f>IFERROR(__xludf.DUMMYFUNCTION("""COMPUTED_VALUE"""),0.0)</f>
        <v>0</v>
      </c>
      <c r="G4" s="19">
        <f>IFERROR(__xludf.DUMMYFUNCTION("""COMPUTED_VALUE"""),2746.93)</f>
        <v>2746.93</v>
      </c>
      <c r="H4" s="19">
        <f>IFERROR(__xludf.DUMMYFUNCTION("""COMPUTED_VALUE"""),2746.93)</f>
        <v>2746.93</v>
      </c>
      <c r="I4" s="19">
        <f>IFERROR(__xludf.DUMMYFUNCTION("""COMPUTED_VALUE"""),274.693)</f>
        <v>274.693</v>
      </c>
      <c r="J4" s="19">
        <f>IFERROR(__xludf.DUMMYFUNCTION("""COMPUTED_VALUE"""),274.69)</f>
        <v>274.69</v>
      </c>
      <c r="K4" s="19">
        <f>IFERROR(__xludf.DUMMYFUNCTION("""COMPUTED_VALUE"""),0.0)</f>
        <v>0</v>
      </c>
      <c r="L4" s="20" t="b">
        <v>0</v>
      </c>
    </row>
    <row r="5">
      <c r="A5" s="14">
        <f>IFERROR(__xludf.DUMMYFUNCTION("""COMPUTED_VALUE"""),2.0265008E7)</f>
        <v>20265008</v>
      </c>
      <c r="B5" s="14" t="str">
        <f>IFERROR(__xludf.DUMMYFUNCTION("""COMPUTED_VALUE"""),"Jonathan Vernon")</f>
        <v>Jonathan Vernon</v>
      </c>
      <c r="C5" s="14" t="b">
        <f>IFERROR(__xludf.DUMMYFUNCTION("""COMPUTED_VALUE"""),FALSE)</f>
        <v>0</v>
      </c>
      <c r="D5" s="21" t="str">
        <f>IFERROR(__xludf.DUMMYFUNCTION("""COMPUTED_VALUE"""),"")</f>
        <v/>
      </c>
      <c r="E5" s="15">
        <f>IFERROR(__xludf.DUMMYFUNCTION("""COMPUTED_VALUE"""),9689.68)</f>
        <v>9689.68</v>
      </c>
      <c r="F5" s="15">
        <f>IFERROR(__xludf.DUMMYFUNCTION("""COMPUTED_VALUE"""),0.0)</f>
        <v>0</v>
      </c>
      <c r="G5" s="15">
        <f>IFERROR(__xludf.DUMMYFUNCTION("""COMPUTED_VALUE"""),0.0)</f>
        <v>0</v>
      </c>
      <c r="H5" s="15">
        <f>IFERROR(__xludf.DUMMYFUNCTION("""COMPUTED_VALUE"""),0.0)</f>
        <v>0</v>
      </c>
      <c r="I5" s="15">
        <f>IFERROR(__xludf.DUMMYFUNCTION("""COMPUTED_VALUE"""),968.9680000000001)</f>
        <v>968.968</v>
      </c>
      <c r="J5" s="15">
        <f>IFERROR(__xludf.DUMMYFUNCTION("""COMPUTED_VALUE"""),0.0)</f>
        <v>0</v>
      </c>
      <c r="K5" s="15">
        <f>IFERROR(__xludf.DUMMYFUNCTION("""COMPUTED_VALUE"""),0.0)</f>
        <v>0</v>
      </c>
      <c r="L5" s="14" t="b">
        <v>0</v>
      </c>
    </row>
    <row r="6">
      <c r="A6" s="17">
        <f>IFERROR(__xludf.DUMMYFUNCTION("""COMPUTED_VALUE"""),2.026501E7)</f>
        <v>20265010</v>
      </c>
      <c r="B6" s="17" t="str">
        <f>IFERROR(__xludf.DUMMYFUNCTION("""COMPUTED_VALUE"""),"Tyler Hunt")</f>
        <v>Tyler Hunt</v>
      </c>
      <c r="C6" s="17" t="b">
        <f>IFERROR(__xludf.DUMMYFUNCTION("""COMPUTED_VALUE"""),TRUE)</f>
        <v>1</v>
      </c>
      <c r="D6" s="18">
        <f>IFERROR(__xludf.DUMMYFUNCTION("""COMPUTED_VALUE"""),0.3590172881733101)</f>
        <v>0.3590172882</v>
      </c>
      <c r="E6" s="19">
        <f>IFERROR(__xludf.DUMMYFUNCTION("""COMPUTED_VALUE"""),32265.41)</f>
        <v>32265.41</v>
      </c>
      <c r="F6" s="19">
        <f>IFERROR(__xludf.DUMMYFUNCTION("""COMPUTED_VALUE"""),0.0)</f>
        <v>0</v>
      </c>
      <c r="G6" s="19">
        <f>IFERROR(__xludf.DUMMYFUNCTION("""COMPUTED_VALUE"""),32595.41)</f>
        <v>32595.41</v>
      </c>
      <c r="H6" s="19">
        <f>IFERROR(__xludf.DUMMYFUNCTION("""COMPUTED_VALUE"""),32265.41)</f>
        <v>32265.41</v>
      </c>
      <c r="I6" s="19">
        <f>IFERROR(__xludf.DUMMYFUNCTION("""COMPUTED_VALUE"""),3226.541)</f>
        <v>3226.541</v>
      </c>
      <c r="J6" s="19">
        <f>IFERROR(__xludf.DUMMYFUNCTION("""COMPUTED_VALUE"""),3226.54)</f>
        <v>3226.54</v>
      </c>
      <c r="K6" s="19">
        <f>IFERROR(__xludf.DUMMYFUNCTION("""COMPUTED_VALUE"""),0.0)</f>
        <v>0</v>
      </c>
      <c r="L6" s="20" t="b">
        <v>0</v>
      </c>
    </row>
    <row r="7">
      <c r="A7" s="14">
        <f>IFERROR(__xludf.DUMMYFUNCTION("""COMPUTED_VALUE"""),2.0265011E7)</f>
        <v>20265011</v>
      </c>
      <c r="B7" s="14" t="str">
        <f>IFERROR(__xludf.DUMMYFUNCTION("""COMPUTED_VALUE"""),"August Boehnlein")</f>
        <v>August Boehnlein</v>
      </c>
      <c r="C7" s="14" t="b">
        <f>IFERROR(__xludf.DUMMYFUNCTION("""COMPUTED_VALUE"""),FALSE)</f>
        <v>0</v>
      </c>
      <c r="D7" s="21" t="str">
        <f>IFERROR(__xludf.DUMMYFUNCTION("""COMPUTED_VALUE"""),"")</f>
        <v/>
      </c>
      <c r="E7" s="15">
        <f>IFERROR(__xludf.DUMMYFUNCTION("""COMPUTED_VALUE"""),24299.55)</f>
        <v>24299.55</v>
      </c>
      <c r="F7" s="15">
        <f>IFERROR(__xludf.DUMMYFUNCTION("""COMPUTED_VALUE"""),0.0)</f>
        <v>0</v>
      </c>
      <c r="G7" s="15">
        <f>IFERROR(__xludf.DUMMYFUNCTION("""COMPUTED_VALUE"""),0.0)</f>
        <v>0</v>
      </c>
      <c r="H7" s="15">
        <f>IFERROR(__xludf.DUMMYFUNCTION("""COMPUTED_VALUE"""),0.0)</f>
        <v>0</v>
      </c>
      <c r="I7" s="15">
        <f>IFERROR(__xludf.DUMMYFUNCTION("""COMPUTED_VALUE"""),2429.955)</f>
        <v>2429.955</v>
      </c>
      <c r="J7" s="15">
        <f>IFERROR(__xludf.DUMMYFUNCTION("""COMPUTED_VALUE"""),0.0)</f>
        <v>0</v>
      </c>
      <c r="K7" s="15">
        <f>IFERROR(__xludf.DUMMYFUNCTION("""COMPUTED_VALUE"""),0.0)</f>
        <v>0</v>
      </c>
      <c r="L7" s="14" t="b">
        <v>0</v>
      </c>
    </row>
    <row r="8">
      <c r="A8" s="17">
        <f>IFERROR(__xludf.DUMMYFUNCTION("""COMPUTED_VALUE"""),2.0265013E7)</f>
        <v>20265013</v>
      </c>
      <c r="B8" s="17" t="str">
        <f>IFERROR(__xludf.DUMMYFUNCTION("""COMPUTED_VALUE"""),"INS - Jeremiah Jenkins")</f>
        <v>INS - Jeremiah Jenkins</v>
      </c>
      <c r="C8" s="17" t="b">
        <f>IFERROR(__xludf.DUMMYFUNCTION("""COMPUTED_VALUE"""),TRUE)</f>
        <v>1</v>
      </c>
      <c r="D8" s="23">
        <f>IFERROR(__xludf.DUMMYFUNCTION("""COMPUTED_VALUE"""),0.11396003940994305)</f>
        <v>0.1139600394</v>
      </c>
      <c r="E8" s="19">
        <f>IFERROR(__xludf.DUMMYFUNCTION("""COMPUTED_VALUE"""),0.0)</f>
        <v>0</v>
      </c>
      <c r="F8" s="19">
        <f>IFERROR(__xludf.DUMMYFUNCTION("""COMPUTED_VALUE"""),17579.32)</f>
        <v>17579.32</v>
      </c>
      <c r="G8" s="19">
        <f>IFERROR(__xludf.DUMMYFUNCTION("""COMPUTED_VALUE"""),17579.32)</f>
        <v>17579.32</v>
      </c>
      <c r="H8" s="19">
        <f>IFERROR(__xludf.DUMMYFUNCTION("""COMPUTED_VALUE"""),17579.32)</f>
        <v>17579.32</v>
      </c>
      <c r="I8" s="19">
        <f>IFERROR(__xludf.DUMMYFUNCTION("""COMPUTED_VALUE"""),1757.932)</f>
        <v>1757.932</v>
      </c>
      <c r="J8" s="19">
        <f>IFERROR(__xludf.DUMMYFUNCTION("""COMPUTED_VALUE"""),1757.93)</f>
        <v>1757.93</v>
      </c>
      <c r="K8" s="19">
        <f>IFERROR(__xludf.DUMMYFUNCTION("""COMPUTED_VALUE"""),0.0)</f>
        <v>0</v>
      </c>
      <c r="L8" s="20" t="b">
        <v>0</v>
      </c>
    </row>
    <row r="9">
      <c r="A9" s="14">
        <f>IFERROR(__xludf.DUMMYFUNCTION("""COMPUTED_VALUE"""),2.0265014E7)</f>
        <v>20265014</v>
      </c>
      <c r="B9" s="14" t="str">
        <f>IFERROR(__xludf.DUMMYFUNCTION("""COMPUTED_VALUE"""),"INS - Floyd Cain Jr.")</f>
        <v>INS - Floyd Cain Jr.</v>
      </c>
      <c r="C9" s="14" t="b">
        <f>IFERROR(__xludf.DUMMYFUNCTION("""COMPUTED_VALUE"""),FALSE)</f>
        <v>0</v>
      </c>
      <c r="D9" s="21" t="str">
        <f>IFERROR(__xludf.DUMMYFUNCTION("""COMPUTED_VALUE"""),"")</f>
        <v/>
      </c>
      <c r="E9" s="15">
        <f>IFERROR(__xludf.DUMMYFUNCTION("""COMPUTED_VALUE"""),0.0)</f>
        <v>0</v>
      </c>
      <c r="F9" s="15">
        <f>IFERROR(__xludf.DUMMYFUNCTION("""COMPUTED_VALUE"""),0.0)</f>
        <v>0</v>
      </c>
      <c r="G9" s="15">
        <f>IFERROR(__xludf.DUMMYFUNCTION("""COMPUTED_VALUE"""),0.0)</f>
        <v>0</v>
      </c>
      <c r="H9" s="15">
        <f>IFERROR(__xludf.DUMMYFUNCTION("""COMPUTED_VALUE"""),0.0)</f>
        <v>0</v>
      </c>
      <c r="I9" s="15">
        <f>IFERROR(__xludf.DUMMYFUNCTION("""COMPUTED_VALUE"""),0.0)</f>
        <v>0</v>
      </c>
      <c r="J9" s="15">
        <f>IFERROR(__xludf.DUMMYFUNCTION("""COMPUTED_VALUE"""),0.0)</f>
        <v>0</v>
      </c>
      <c r="K9" s="15">
        <f>IFERROR(__xludf.DUMMYFUNCTION("""COMPUTED_VALUE"""),0.0)</f>
        <v>0</v>
      </c>
      <c r="L9" s="14" t="b">
        <v>0</v>
      </c>
    </row>
    <row r="10">
      <c r="A10" s="14">
        <f>IFERROR(__xludf.DUMMYFUNCTION("""COMPUTED_VALUE"""),2.0265016E7)</f>
        <v>20265016</v>
      </c>
      <c r="B10" s="14" t="str">
        <f>IFERROR(__xludf.DUMMYFUNCTION("""COMPUTED_VALUE"""),"Jason Rutan")</f>
        <v>Jason Rutan</v>
      </c>
      <c r="C10" s="14" t="b">
        <f>IFERROR(__xludf.DUMMYFUNCTION("""COMPUTED_VALUE"""),FALSE)</f>
        <v>0</v>
      </c>
      <c r="D10" s="21" t="str">
        <f>IFERROR(__xludf.DUMMYFUNCTION("""COMPUTED_VALUE"""),"")</f>
        <v/>
      </c>
      <c r="E10" s="15">
        <f>IFERROR(__xludf.DUMMYFUNCTION("""COMPUTED_VALUE"""),19468.5)</f>
        <v>19468.5</v>
      </c>
      <c r="F10" s="15">
        <f>IFERROR(__xludf.DUMMYFUNCTION("""COMPUTED_VALUE"""),0.0)</f>
        <v>0</v>
      </c>
      <c r="G10" s="15">
        <f>IFERROR(__xludf.DUMMYFUNCTION("""COMPUTED_VALUE"""),0.0)</f>
        <v>0</v>
      </c>
      <c r="H10" s="15">
        <f>IFERROR(__xludf.DUMMYFUNCTION("""COMPUTED_VALUE"""),0.0)</f>
        <v>0</v>
      </c>
      <c r="I10" s="15">
        <f>IFERROR(__xludf.DUMMYFUNCTION("""COMPUTED_VALUE"""),1946.8500000000001)</f>
        <v>1946.85</v>
      </c>
      <c r="J10" s="15">
        <f>IFERROR(__xludf.DUMMYFUNCTION("""COMPUTED_VALUE"""),0.0)</f>
        <v>0</v>
      </c>
      <c r="K10" s="15">
        <f>IFERROR(__xludf.DUMMYFUNCTION("""COMPUTED_VALUE"""),0.0)</f>
        <v>0</v>
      </c>
      <c r="L10" s="14" t="b">
        <v>0</v>
      </c>
    </row>
    <row r="11">
      <c r="A11" s="24">
        <f>IFERROR(__xludf.DUMMYFUNCTION("""COMPUTED_VALUE"""),2.0265017E7)</f>
        <v>20265017</v>
      </c>
      <c r="B11" s="24" t="str">
        <f>IFERROR(__xludf.DUMMYFUNCTION("""COMPUTED_VALUE"""),"Kristen Adams")</f>
        <v>Kristen Adams</v>
      </c>
      <c r="C11" s="24" t="b">
        <f>IFERROR(__xludf.DUMMYFUNCTION("""COMPUTED_VALUE"""),TRUE)</f>
        <v>1</v>
      </c>
      <c r="D11" s="25" t="str">
        <f>IFERROR(__xludf.DUMMYFUNCTION("""COMPUTED_VALUE"""),"")</f>
        <v/>
      </c>
      <c r="E11" s="26">
        <f>IFERROR(__xludf.DUMMYFUNCTION("""COMPUTED_VALUE"""),28121.11)</f>
        <v>28121.11</v>
      </c>
      <c r="F11" s="26">
        <f>IFERROR(__xludf.DUMMYFUNCTION("""COMPUTED_VALUE"""),199.61999999999898)</f>
        <v>199.62</v>
      </c>
      <c r="G11" s="26">
        <f>IFERROR(__xludf.DUMMYFUNCTION("""COMPUTED_VALUE"""),28320.73)</f>
        <v>28320.73</v>
      </c>
      <c r="H11" s="26">
        <f>IFERROR(__xludf.DUMMYFUNCTION("""COMPUTED_VALUE"""),28320.73)</f>
        <v>28320.73</v>
      </c>
      <c r="I11" s="26">
        <f>IFERROR(__xludf.DUMMYFUNCTION("""COMPUTED_VALUE"""),2832.0730000000003)</f>
        <v>2832.073</v>
      </c>
      <c r="J11" s="26">
        <f>IFERROR(__xludf.DUMMYFUNCTION("""COMPUTED_VALUE"""),2428.01)</f>
        <v>2428.01</v>
      </c>
      <c r="K11" s="26">
        <f>IFERROR(__xludf.DUMMYFUNCTION("""COMPUTED_VALUE"""),404.06)</f>
        <v>404.06</v>
      </c>
      <c r="L11" s="27" t="b">
        <v>0</v>
      </c>
    </row>
    <row r="12">
      <c r="A12" s="14">
        <f>IFERROR(__xludf.DUMMYFUNCTION("""COMPUTED_VALUE"""),2.0265018E7)</f>
        <v>20265018</v>
      </c>
      <c r="B12" s="14" t="str">
        <f>IFERROR(__xludf.DUMMYFUNCTION("""COMPUTED_VALUE"""),"CHIP - Carol Steed")</f>
        <v>CHIP - Carol Steed</v>
      </c>
      <c r="C12" s="14" t="b">
        <f>IFERROR(__xludf.DUMMYFUNCTION("""COMPUTED_VALUE"""),FALSE)</f>
        <v>0</v>
      </c>
      <c r="D12" s="21" t="str">
        <f>IFERROR(__xludf.DUMMYFUNCTION("""COMPUTED_VALUE"""),"")</f>
        <v/>
      </c>
      <c r="E12" s="15">
        <f>IFERROR(__xludf.DUMMYFUNCTION("""COMPUTED_VALUE"""),11265.0)</f>
        <v>11265</v>
      </c>
      <c r="F12" s="15">
        <f>IFERROR(__xludf.DUMMYFUNCTION("""COMPUTED_VALUE"""),0.0)</f>
        <v>0</v>
      </c>
      <c r="G12" s="15">
        <f>IFERROR(__xludf.DUMMYFUNCTION("""COMPUTED_VALUE"""),0.0)</f>
        <v>0</v>
      </c>
      <c r="H12" s="15">
        <f>IFERROR(__xludf.DUMMYFUNCTION("""COMPUTED_VALUE"""),0.0)</f>
        <v>0</v>
      </c>
      <c r="I12" s="15">
        <f>IFERROR(__xludf.DUMMYFUNCTION("""COMPUTED_VALUE"""),1126.5)</f>
        <v>1126.5</v>
      </c>
      <c r="J12" s="15">
        <f>IFERROR(__xludf.DUMMYFUNCTION("""COMPUTED_VALUE"""),0.0)</f>
        <v>0</v>
      </c>
      <c r="K12" s="15">
        <f>IFERROR(__xludf.DUMMYFUNCTION("""COMPUTED_VALUE"""),0.0)</f>
        <v>0</v>
      </c>
      <c r="L12" s="14" t="b">
        <v>0</v>
      </c>
    </row>
    <row r="13">
      <c r="A13" s="17">
        <f>IFERROR(__xludf.DUMMYFUNCTION("""COMPUTED_VALUE"""),2.0265024E7)</f>
        <v>20265024</v>
      </c>
      <c r="B13" s="17" t="str">
        <f>IFERROR(__xludf.DUMMYFUNCTION("""COMPUTED_VALUE"""),"William Barrett")</f>
        <v>William Barrett</v>
      </c>
      <c r="C13" s="17" t="b">
        <f>IFERROR(__xludf.DUMMYFUNCTION("""COMPUTED_VALUE"""),TRUE)</f>
        <v>1</v>
      </c>
      <c r="D13" s="18">
        <f>IFERROR(__xludf.DUMMYFUNCTION("""COMPUTED_VALUE"""),0.5061728395061729)</f>
        <v>0.5061728395</v>
      </c>
      <c r="E13" s="19">
        <f>IFERROR(__xludf.DUMMYFUNCTION("""COMPUTED_VALUE"""),506.25)</f>
        <v>506.25</v>
      </c>
      <c r="F13" s="19">
        <f>IFERROR(__xludf.DUMMYFUNCTION("""COMPUTED_VALUE"""),0.0)</f>
        <v>0</v>
      </c>
      <c r="G13" s="19">
        <f>IFERROR(__xludf.DUMMYFUNCTION("""COMPUTED_VALUE"""),506.25)</f>
        <v>506.25</v>
      </c>
      <c r="H13" s="19">
        <f>IFERROR(__xludf.DUMMYFUNCTION("""COMPUTED_VALUE"""),506.25)</f>
        <v>506.25</v>
      </c>
      <c r="I13" s="19">
        <f>IFERROR(__xludf.DUMMYFUNCTION("""COMPUTED_VALUE"""),50.625)</f>
        <v>50.625</v>
      </c>
      <c r="J13" s="19">
        <f>IFERROR(__xludf.DUMMYFUNCTION("""COMPUTED_VALUE"""),50.63)</f>
        <v>50.63</v>
      </c>
      <c r="K13" s="19">
        <f>IFERROR(__xludf.DUMMYFUNCTION("""COMPUTED_VALUE"""),0.0)</f>
        <v>0</v>
      </c>
      <c r="L13" s="20" t="b">
        <v>0</v>
      </c>
    </row>
    <row r="14">
      <c r="A14" s="14">
        <f>IFERROR(__xludf.DUMMYFUNCTION("""COMPUTED_VALUE"""),2.0265026E7)</f>
        <v>20265026</v>
      </c>
      <c r="B14" s="14" t="str">
        <f>IFERROR(__xludf.DUMMYFUNCTION("""COMPUTED_VALUE"""),"INS - Josh Gates")</f>
        <v>INS - Josh Gates</v>
      </c>
      <c r="C14" s="14" t="b">
        <f>IFERROR(__xludf.DUMMYFUNCTION("""COMPUTED_VALUE"""),FALSE)</f>
        <v>0</v>
      </c>
      <c r="D14" s="21" t="str">
        <f>IFERROR(__xludf.DUMMYFUNCTION("""COMPUTED_VALUE"""),"")</f>
        <v/>
      </c>
      <c r="E14" s="15">
        <f>IFERROR(__xludf.DUMMYFUNCTION("""COMPUTED_VALUE"""),0.0)</f>
        <v>0</v>
      </c>
      <c r="F14" s="15">
        <f>IFERROR(__xludf.DUMMYFUNCTION("""COMPUTED_VALUE"""),0.0)</f>
        <v>0</v>
      </c>
      <c r="G14" s="15">
        <f>IFERROR(__xludf.DUMMYFUNCTION("""COMPUTED_VALUE"""),0.0)</f>
        <v>0</v>
      </c>
      <c r="H14" s="15">
        <f>IFERROR(__xludf.DUMMYFUNCTION("""COMPUTED_VALUE"""),0.0)</f>
        <v>0</v>
      </c>
      <c r="I14" s="15">
        <f>IFERROR(__xludf.DUMMYFUNCTION("""COMPUTED_VALUE"""),0.0)</f>
        <v>0</v>
      </c>
      <c r="J14" s="15">
        <f>IFERROR(__xludf.DUMMYFUNCTION("""COMPUTED_VALUE"""),0.0)</f>
        <v>0</v>
      </c>
      <c r="K14" s="15">
        <f>IFERROR(__xludf.DUMMYFUNCTION("""COMPUTED_VALUE"""),0.0)</f>
        <v>0</v>
      </c>
      <c r="L14" s="14" t="b">
        <v>0</v>
      </c>
    </row>
    <row r="15">
      <c r="A15" s="17">
        <f>IFERROR(__xludf.DUMMYFUNCTION("""COMPUTED_VALUE"""),2.0265028E7)</f>
        <v>20265028</v>
      </c>
      <c r="B15" s="17" t="str">
        <f>IFERROR(__xludf.DUMMYFUNCTION("""COMPUTED_VALUE"""),"Andrew Wasouf")</f>
        <v>Andrew Wasouf</v>
      </c>
      <c r="C15" s="17" t="b">
        <f>IFERROR(__xludf.DUMMYFUNCTION("""COMPUTED_VALUE"""),TRUE)</f>
        <v>1</v>
      </c>
      <c r="D15" s="18">
        <f>IFERROR(__xludf.DUMMYFUNCTION("""COMPUTED_VALUE"""),0.5065013811224146)</f>
        <v>0.5065013811</v>
      </c>
      <c r="E15" s="19">
        <f>IFERROR(__xludf.DUMMYFUNCTION("""COMPUTED_VALUE"""),593.72)</f>
        <v>593.72</v>
      </c>
      <c r="F15" s="19">
        <f>IFERROR(__xludf.DUMMYFUNCTION("""COMPUTED_VALUE"""),0.0)</f>
        <v>0</v>
      </c>
      <c r="G15" s="19">
        <f>IFERROR(__xludf.DUMMYFUNCTION("""COMPUTED_VALUE"""),593.72)</f>
        <v>593.72</v>
      </c>
      <c r="H15" s="19">
        <f>IFERROR(__xludf.DUMMYFUNCTION("""COMPUTED_VALUE"""),593.72)</f>
        <v>593.72</v>
      </c>
      <c r="I15" s="19">
        <f>IFERROR(__xludf.DUMMYFUNCTION("""COMPUTED_VALUE"""),59.37200000000001)</f>
        <v>59.372</v>
      </c>
      <c r="J15" s="19">
        <f>IFERROR(__xludf.DUMMYFUNCTION("""COMPUTED_VALUE"""),59.37)</f>
        <v>59.37</v>
      </c>
      <c r="K15" s="19">
        <f>IFERROR(__xludf.DUMMYFUNCTION("""COMPUTED_VALUE"""),0.0)</f>
        <v>0</v>
      </c>
      <c r="L15" s="20" t="b">
        <v>0</v>
      </c>
    </row>
    <row r="16">
      <c r="A16" s="14">
        <f>IFERROR(__xludf.DUMMYFUNCTION("""COMPUTED_VALUE"""),2.026503E7)</f>
        <v>20265030</v>
      </c>
      <c r="B16" s="14" t="str">
        <f>IFERROR(__xludf.DUMMYFUNCTION("""COMPUTED_VALUE"""),"INS - Randy Brinkman")</f>
        <v>INS - Randy Brinkman</v>
      </c>
      <c r="C16" s="14" t="b">
        <f>IFERROR(__xludf.DUMMYFUNCTION("""COMPUTED_VALUE"""),FALSE)</f>
        <v>0</v>
      </c>
      <c r="D16" s="21" t="str">
        <f>IFERROR(__xludf.DUMMYFUNCTION("""COMPUTED_VALUE"""),"")</f>
        <v/>
      </c>
      <c r="E16" s="15">
        <f>IFERROR(__xludf.DUMMYFUNCTION("""COMPUTED_VALUE"""),0.0)</f>
        <v>0</v>
      </c>
      <c r="F16" s="15">
        <f>IFERROR(__xludf.DUMMYFUNCTION("""COMPUTED_VALUE"""),0.0)</f>
        <v>0</v>
      </c>
      <c r="G16" s="15">
        <f>IFERROR(__xludf.DUMMYFUNCTION("""COMPUTED_VALUE"""),0.0)</f>
        <v>0</v>
      </c>
      <c r="H16" s="15">
        <f>IFERROR(__xludf.DUMMYFUNCTION("""COMPUTED_VALUE"""),0.0)</f>
        <v>0</v>
      </c>
      <c r="I16" s="15">
        <f>IFERROR(__xludf.DUMMYFUNCTION("""COMPUTED_VALUE"""),0.0)</f>
        <v>0</v>
      </c>
      <c r="J16" s="15">
        <f>IFERROR(__xludf.DUMMYFUNCTION("""COMPUTED_VALUE"""),0.0)</f>
        <v>0</v>
      </c>
      <c r="K16" s="15">
        <f>IFERROR(__xludf.DUMMYFUNCTION("""COMPUTED_VALUE"""),0.0)</f>
        <v>0</v>
      </c>
      <c r="L16" s="14" t="b">
        <v>0</v>
      </c>
    </row>
    <row r="17">
      <c r="A17" s="14">
        <f>IFERROR(__xludf.DUMMYFUNCTION("""COMPUTED_VALUE"""),2.0265032E7)</f>
        <v>20265032</v>
      </c>
      <c r="B17" s="14" t="str">
        <f>IFERROR(__xludf.DUMMYFUNCTION("""COMPUTED_VALUE"""),"Rachel Conrad")</f>
        <v>Rachel Conrad</v>
      </c>
      <c r="C17" s="14" t="b">
        <f>IFERROR(__xludf.DUMMYFUNCTION("""COMPUTED_VALUE"""),FALSE)</f>
        <v>0</v>
      </c>
      <c r="D17" s="21" t="str">
        <f>IFERROR(__xludf.DUMMYFUNCTION("""COMPUTED_VALUE"""),"")</f>
        <v/>
      </c>
      <c r="E17" s="15">
        <f>IFERROR(__xludf.DUMMYFUNCTION("""COMPUTED_VALUE"""),0.0)</f>
        <v>0</v>
      </c>
      <c r="F17" s="15">
        <f>IFERROR(__xludf.DUMMYFUNCTION("""COMPUTED_VALUE"""),0.0)</f>
        <v>0</v>
      </c>
      <c r="G17" s="15">
        <f>IFERROR(__xludf.DUMMYFUNCTION("""COMPUTED_VALUE"""),0.0)</f>
        <v>0</v>
      </c>
      <c r="H17" s="15">
        <f>IFERROR(__xludf.DUMMYFUNCTION("""COMPUTED_VALUE"""),0.0)</f>
        <v>0</v>
      </c>
      <c r="I17" s="15">
        <f>IFERROR(__xludf.DUMMYFUNCTION("""COMPUTED_VALUE"""),0.0)</f>
        <v>0</v>
      </c>
      <c r="J17" s="15">
        <f>IFERROR(__xludf.DUMMYFUNCTION("""COMPUTED_VALUE"""),0.0)</f>
        <v>0</v>
      </c>
      <c r="K17" s="15">
        <f>IFERROR(__xludf.DUMMYFUNCTION("""COMPUTED_VALUE"""),0.0)</f>
        <v>0</v>
      </c>
      <c r="L17" s="14" t="b">
        <v>0</v>
      </c>
    </row>
    <row r="18">
      <c r="A18" s="14">
        <f>IFERROR(__xludf.DUMMYFUNCTION("""COMPUTED_VALUE"""),2.0265033E7)</f>
        <v>20265033</v>
      </c>
      <c r="B18" s="14" t="str">
        <f>IFERROR(__xludf.DUMMYFUNCTION("""COMPUTED_VALUE"""),"Ralph Lowe")</f>
        <v>Ralph Lowe</v>
      </c>
      <c r="C18" s="14" t="b">
        <f>IFERROR(__xludf.DUMMYFUNCTION("""COMPUTED_VALUE"""),FALSE)</f>
        <v>0</v>
      </c>
      <c r="D18" s="21" t="str">
        <f>IFERROR(__xludf.DUMMYFUNCTION("""COMPUTED_VALUE"""),"")</f>
        <v/>
      </c>
      <c r="E18" s="15">
        <f>IFERROR(__xludf.DUMMYFUNCTION("""COMPUTED_VALUE"""),0.0)</f>
        <v>0</v>
      </c>
      <c r="F18" s="15">
        <f>IFERROR(__xludf.DUMMYFUNCTION("""COMPUTED_VALUE"""),0.0)</f>
        <v>0</v>
      </c>
      <c r="G18" s="15">
        <f>IFERROR(__xludf.DUMMYFUNCTION("""COMPUTED_VALUE"""),0.0)</f>
        <v>0</v>
      </c>
      <c r="H18" s="15">
        <f>IFERROR(__xludf.DUMMYFUNCTION("""COMPUTED_VALUE"""),0.0)</f>
        <v>0</v>
      </c>
      <c r="I18" s="15">
        <f>IFERROR(__xludf.DUMMYFUNCTION("""COMPUTED_VALUE"""),0.0)</f>
        <v>0</v>
      </c>
      <c r="J18" s="15">
        <f>IFERROR(__xludf.DUMMYFUNCTION("""COMPUTED_VALUE"""),0.0)</f>
        <v>0</v>
      </c>
      <c r="K18" s="15">
        <f>IFERROR(__xludf.DUMMYFUNCTION("""COMPUTED_VALUE"""),0.0)</f>
        <v>0</v>
      </c>
      <c r="L18" s="14" t="b">
        <v>0</v>
      </c>
    </row>
    <row r="19">
      <c r="A19" s="14">
        <f>IFERROR(__xludf.DUMMYFUNCTION("""COMPUTED_VALUE"""),2.0265034E7)</f>
        <v>20265034</v>
      </c>
      <c r="B19" s="14" t="str">
        <f>IFERROR(__xludf.DUMMYFUNCTION("""COMPUTED_VALUE"""),"INS - Alicia Luedeke")</f>
        <v>INS - Alicia Luedeke</v>
      </c>
      <c r="C19" s="14" t="b">
        <f>IFERROR(__xludf.DUMMYFUNCTION("""COMPUTED_VALUE"""),FALSE)</f>
        <v>0</v>
      </c>
      <c r="D19" s="21">
        <f>IFERROR(__xludf.DUMMYFUNCTION("""COMPUTED_VALUE"""),1.0)</f>
        <v>1</v>
      </c>
      <c r="E19" s="15">
        <f>IFERROR(__xludf.DUMMYFUNCTION("""COMPUTED_VALUE"""),15106.78)</f>
        <v>15106.78</v>
      </c>
      <c r="F19" s="15">
        <f>IFERROR(__xludf.DUMMYFUNCTION("""COMPUTED_VALUE"""),0.0)</f>
        <v>0</v>
      </c>
      <c r="G19" s="15">
        <f>IFERROR(__xludf.DUMMYFUNCTION("""COMPUTED_VALUE"""),8340.95)</f>
        <v>8340.95</v>
      </c>
      <c r="H19" s="15">
        <f>IFERROR(__xludf.DUMMYFUNCTION("""COMPUTED_VALUE"""),0.0)</f>
        <v>0</v>
      </c>
      <c r="I19" s="15">
        <f>IFERROR(__xludf.DUMMYFUNCTION("""COMPUTED_VALUE"""),1510.678)</f>
        <v>1510.678</v>
      </c>
      <c r="J19" s="15">
        <f>IFERROR(__xludf.DUMMYFUNCTION("""COMPUTED_VALUE"""),0.0)</f>
        <v>0</v>
      </c>
      <c r="K19" s="15">
        <f>IFERROR(__xludf.DUMMYFUNCTION("""COMPUTED_VALUE"""),0.0)</f>
        <v>0</v>
      </c>
      <c r="L19" s="14" t="b">
        <v>0</v>
      </c>
    </row>
    <row r="20">
      <c r="A20" s="14">
        <f>IFERROR(__xludf.DUMMYFUNCTION("""COMPUTED_VALUE"""),2.0265035E7)</f>
        <v>20265035</v>
      </c>
      <c r="B20" s="14" t="str">
        <f>IFERROR(__xludf.DUMMYFUNCTION("""COMPUTED_VALUE"""),"Grant Pace")</f>
        <v>Grant Pace</v>
      </c>
      <c r="C20" s="14" t="b">
        <f>IFERROR(__xludf.DUMMYFUNCTION("""COMPUTED_VALUE"""),FALSE)</f>
        <v>0</v>
      </c>
      <c r="D20" s="21" t="str">
        <f>IFERROR(__xludf.DUMMYFUNCTION("""COMPUTED_VALUE"""),"")</f>
        <v/>
      </c>
      <c r="E20" s="15">
        <f>IFERROR(__xludf.DUMMYFUNCTION("""COMPUTED_VALUE"""),17037.2)</f>
        <v>17037.2</v>
      </c>
      <c r="F20" s="15">
        <f>IFERROR(__xludf.DUMMYFUNCTION("""COMPUTED_VALUE"""),0.0)</f>
        <v>0</v>
      </c>
      <c r="G20" s="15">
        <f>IFERROR(__xludf.DUMMYFUNCTION("""COMPUTED_VALUE"""),0.0)</f>
        <v>0</v>
      </c>
      <c r="H20" s="15">
        <f>IFERROR(__xludf.DUMMYFUNCTION("""COMPUTED_VALUE"""),0.0)</f>
        <v>0</v>
      </c>
      <c r="I20" s="15">
        <f>IFERROR(__xludf.DUMMYFUNCTION("""COMPUTED_VALUE"""),1703.7200000000003)</f>
        <v>1703.72</v>
      </c>
      <c r="J20" s="15">
        <f>IFERROR(__xludf.DUMMYFUNCTION("""COMPUTED_VALUE"""),0.0)</f>
        <v>0</v>
      </c>
      <c r="K20" s="15">
        <f>IFERROR(__xludf.DUMMYFUNCTION("""COMPUTED_VALUE"""),0.0)</f>
        <v>0</v>
      </c>
      <c r="L20" s="14" t="b">
        <v>0</v>
      </c>
    </row>
    <row r="21">
      <c r="A21" s="14">
        <f>IFERROR(__xludf.DUMMYFUNCTION("""COMPUTED_VALUE"""),2.0265039E7)</f>
        <v>20265039</v>
      </c>
      <c r="B21" s="14" t="str">
        <f>IFERROR(__xludf.DUMMYFUNCTION("""COMPUTED_VALUE"""),"Jason Schaefer")</f>
        <v>Jason Schaefer</v>
      </c>
      <c r="C21" s="14" t="b">
        <f>IFERROR(__xludf.DUMMYFUNCTION("""COMPUTED_VALUE"""),FALSE)</f>
        <v>0</v>
      </c>
      <c r="D21" s="21" t="str">
        <f>IFERROR(__xludf.DUMMYFUNCTION("""COMPUTED_VALUE"""),"")</f>
        <v/>
      </c>
      <c r="E21" s="15">
        <f>IFERROR(__xludf.DUMMYFUNCTION("""COMPUTED_VALUE"""),0.0)</f>
        <v>0</v>
      </c>
      <c r="F21" s="15">
        <f>IFERROR(__xludf.DUMMYFUNCTION("""COMPUTED_VALUE"""),0.0)</f>
        <v>0</v>
      </c>
      <c r="G21" s="15">
        <f>IFERROR(__xludf.DUMMYFUNCTION("""COMPUTED_VALUE"""),0.0)</f>
        <v>0</v>
      </c>
      <c r="H21" s="15">
        <f>IFERROR(__xludf.DUMMYFUNCTION("""COMPUTED_VALUE"""),0.0)</f>
        <v>0</v>
      </c>
      <c r="I21" s="15">
        <f>IFERROR(__xludf.DUMMYFUNCTION("""COMPUTED_VALUE"""),0.0)</f>
        <v>0</v>
      </c>
      <c r="J21" s="15">
        <f>IFERROR(__xludf.DUMMYFUNCTION("""COMPUTED_VALUE"""),0.0)</f>
        <v>0</v>
      </c>
      <c r="K21" s="15">
        <f>IFERROR(__xludf.DUMMYFUNCTION("""COMPUTED_VALUE"""),0.0)</f>
        <v>0</v>
      </c>
      <c r="L21" s="14" t="b">
        <v>0</v>
      </c>
    </row>
    <row r="22">
      <c r="A22" s="24">
        <f>IFERROR(__xludf.DUMMYFUNCTION("""COMPUTED_VALUE"""),2.0265041E7)</f>
        <v>20265041</v>
      </c>
      <c r="B22" s="24" t="str">
        <f>IFERROR(__xludf.DUMMYFUNCTION("""COMPUTED_VALUE"""),"INS - Roben Hamilton")</f>
        <v>INS - Roben Hamilton</v>
      </c>
      <c r="C22" s="24" t="b">
        <f>IFERROR(__xludf.DUMMYFUNCTION("""COMPUTED_VALUE"""),FALSE)</f>
        <v>0</v>
      </c>
      <c r="D22" s="25">
        <f>IFERROR(__xludf.DUMMYFUNCTION("""COMPUTED_VALUE"""),1.0)</f>
        <v>1</v>
      </c>
      <c r="E22" s="26">
        <f>IFERROR(__xludf.DUMMYFUNCTION("""COMPUTED_VALUE"""),26541.18)</f>
        <v>26541.18</v>
      </c>
      <c r="F22" s="26">
        <f>IFERROR(__xludf.DUMMYFUNCTION("""COMPUTED_VALUE"""),0.0)</f>
        <v>0</v>
      </c>
      <c r="G22" s="26">
        <f>IFERROR(__xludf.DUMMYFUNCTION("""COMPUTED_VALUE"""),15427.44)</f>
        <v>15427.44</v>
      </c>
      <c r="H22" s="26">
        <f>IFERROR(__xludf.DUMMYFUNCTION("""COMPUTED_VALUE"""),15427.439999999999)</f>
        <v>15427.44</v>
      </c>
      <c r="I22" s="26">
        <f>IFERROR(__xludf.DUMMYFUNCTION("""COMPUTED_VALUE"""),2654.1180000000004)</f>
        <v>2654.118</v>
      </c>
      <c r="J22" s="26">
        <f>IFERROR(__xludf.DUMMYFUNCTION("""COMPUTED_VALUE"""),0.0)</f>
        <v>0</v>
      </c>
      <c r="K22" s="26">
        <f>IFERROR(__xludf.DUMMYFUNCTION("""COMPUTED_VALUE"""),1542.74)</f>
        <v>1542.74</v>
      </c>
      <c r="L22" s="24" t="b">
        <v>0</v>
      </c>
    </row>
    <row r="23">
      <c r="A23" s="14">
        <f>IFERROR(__xludf.DUMMYFUNCTION("""COMPUTED_VALUE"""),2.0265044E7)</f>
        <v>20265044</v>
      </c>
      <c r="B23" s="14" t="str">
        <f>IFERROR(__xludf.DUMMYFUNCTION("""COMPUTED_VALUE"""),"INS - Vicki Jones")</f>
        <v>INS - Vicki Jones</v>
      </c>
      <c r="C23" s="14" t="b">
        <f>IFERROR(__xludf.DUMMYFUNCTION("""COMPUTED_VALUE"""),FALSE)</f>
        <v>0</v>
      </c>
      <c r="D23" s="21" t="str">
        <f>IFERROR(__xludf.DUMMYFUNCTION("""COMPUTED_VALUE"""),"")</f>
        <v/>
      </c>
      <c r="E23" s="15">
        <f>IFERROR(__xludf.DUMMYFUNCTION("""COMPUTED_VALUE"""),0.0)</f>
        <v>0</v>
      </c>
      <c r="F23" s="15">
        <f>IFERROR(__xludf.DUMMYFUNCTION("""COMPUTED_VALUE"""),0.0)</f>
        <v>0</v>
      </c>
      <c r="G23" s="15">
        <f>IFERROR(__xludf.DUMMYFUNCTION("""COMPUTED_VALUE"""),0.0)</f>
        <v>0</v>
      </c>
      <c r="H23" s="15">
        <f>IFERROR(__xludf.DUMMYFUNCTION("""COMPUTED_VALUE"""),0.0)</f>
        <v>0</v>
      </c>
      <c r="I23" s="15">
        <f>IFERROR(__xludf.DUMMYFUNCTION("""COMPUTED_VALUE"""),0.0)</f>
        <v>0</v>
      </c>
      <c r="J23" s="15">
        <f>IFERROR(__xludf.DUMMYFUNCTION("""COMPUTED_VALUE"""),0.0)</f>
        <v>0</v>
      </c>
      <c r="K23" s="15">
        <f>IFERROR(__xludf.DUMMYFUNCTION("""COMPUTED_VALUE"""),0.0)</f>
        <v>0</v>
      </c>
      <c r="L23" s="14" t="b">
        <v>0</v>
      </c>
    </row>
    <row r="24">
      <c r="A24" s="14">
        <f>IFERROR(__xludf.DUMMYFUNCTION("""COMPUTED_VALUE"""),2.0265045E7)</f>
        <v>20265045</v>
      </c>
      <c r="B24" s="14" t="str">
        <f>IFERROR(__xludf.DUMMYFUNCTION("""COMPUTED_VALUE"""),"Nate  Beaman")</f>
        <v>Nate  Beaman</v>
      </c>
      <c r="C24" s="14" t="b">
        <f>IFERROR(__xludf.DUMMYFUNCTION("""COMPUTED_VALUE"""),FALSE)</f>
        <v>0</v>
      </c>
      <c r="D24" s="21" t="str">
        <f>IFERROR(__xludf.DUMMYFUNCTION("""COMPUTED_VALUE"""),"")</f>
        <v/>
      </c>
      <c r="E24" s="15">
        <f>IFERROR(__xludf.DUMMYFUNCTION("""COMPUTED_VALUE"""),0.0)</f>
        <v>0</v>
      </c>
      <c r="F24" s="15">
        <f>IFERROR(__xludf.DUMMYFUNCTION("""COMPUTED_VALUE"""),0.0)</f>
        <v>0</v>
      </c>
      <c r="G24" s="15">
        <f>IFERROR(__xludf.DUMMYFUNCTION("""COMPUTED_VALUE"""),0.0)</f>
        <v>0</v>
      </c>
      <c r="H24" s="15">
        <f>IFERROR(__xludf.DUMMYFUNCTION("""COMPUTED_VALUE"""),0.0)</f>
        <v>0</v>
      </c>
      <c r="I24" s="15">
        <f>IFERROR(__xludf.DUMMYFUNCTION("""COMPUTED_VALUE"""),0.0)</f>
        <v>0</v>
      </c>
      <c r="J24" s="15">
        <f>IFERROR(__xludf.DUMMYFUNCTION("""COMPUTED_VALUE"""),0.0)</f>
        <v>0</v>
      </c>
      <c r="K24" s="15">
        <f>IFERROR(__xludf.DUMMYFUNCTION("""COMPUTED_VALUE"""),0.0)</f>
        <v>0</v>
      </c>
      <c r="L24" s="14" t="b">
        <v>0</v>
      </c>
    </row>
    <row r="25">
      <c r="A25" s="24">
        <f>IFERROR(__xludf.DUMMYFUNCTION("""COMPUTED_VALUE"""),2.0265046E7)</f>
        <v>20265046</v>
      </c>
      <c r="B25" s="24" t="str">
        <f>IFERROR(__xludf.DUMMYFUNCTION("""COMPUTED_VALUE"""),"INS - Dennis Fine")</f>
        <v>INS - Dennis Fine</v>
      </c>
      <c r="C25" s="24" t="b">
        <f>IFERROR(__xludf.DUMMYFUNCTION("""COMPUTED_VALUE"""),FALSE)</f>
        <v>0</v>
      </c>
      <c r="D25" s="25">
        <f>IFERROR(__xludf.DUMMYFUNCTION("""COMPUTED_VALUE"""),1.0)</f>
        <v>1</v>
      </c>
      <c r="E25" s="26">
        <f>IFERROR(__xludf.DUMMYFUNCTION("""COMPUTED_VALUE"""),21350.56)</f>
        <v>21350.56</v>
      </c>
      <c r="F25" s="26">
        <f>IFERROR(__xludf.DUMMYFUNCTION("""COMPUTED_VALUE"""),0.0)</f>
        <v>0</v>
      </c>
      <c r="G25" s="26">
        <f>IFERROR(__xludf.DUMMYFUNCTION("""COMPUTED_VALUE"""),18011.86)</f>
        <v>18011.86</v>
      </c>
      <c r="H25" s="26">
        <f>IFERROR(__xludf.DUMMYFUNCTION("""COMPUTED_VALUE"""),13258.9)</f>
        <v>13258.9</v>
      </c>
      <c r="I25" s="26">
        <f>IFERROR(__xludf.DUMMYFUNCTION("""COMPUTED_VALUE"""),2135.056)</f>
        <v>2135.056</v>
      </c>
      <c r="J25" s="26">
        <f>IFERROR(__xludf.DUMMYFUNCTION("""COMPUTED_VALUE"""),0.0)</f>
        <v>0</v>
      </c>
      <c r="K25" s="26">
        <f>IFERROR(__xludf.DUMMYFUNCTION("""COMPUTED_VALUE"""),1325.89)</f>
        <v>1325.89</v>
      </c>
      <c r="L25" s="24" t="b">
        <v>0</v>
      </c>
    </row>
    <row r="26">
      <c r="A26" s="14">
        <f>IFERROR(__xludf.DUMMYFUNCTION("""COMPUTED_VALUE"""),2.0265047E7)</f>
        <v>20265047</v>
      </c>
      <c r="B26" s="14" t="str">
        <f>IFERROR(__xludf.DUMMYFUNCTION("""COMPUTED_VALUE"""),"INS - Mike Wallace")</f>
        <v>INS - Mike Wallace</v>
      </c>
      <c r="C26" s="14" t="b">
        <f>IFERROR(__xludf.DUMMYFUNCTION("""COMPUTED_VALUE"""),FALSE)</f>
        <v>0</v>
      </c>
      <c r="D26" s="21" t="str">
        <f>IFERROR(__xludf.DUMMYFUNCTION("""COMPUTED_VALUE"""),"")</f>
        <v/>
      </c>
      <c r="E26" s="15">
        <f>IFERROR(__xludf.DUMMYFUNCTION("""COMPUTED_VALUE"""),17330.84)</f>
        <v>17330.84</v>
      </c>
      <c r="F26" s="15">
        <f>IFERROR(__xludf.DUMMYFUNCTION("""COMPUTED_VALUE"""),0.0)</f>
        <v>0</v>
      </c>
      <c r="G26" s="15">
        <f>IFERROR(__xludf.DUMMYFUNCTION("""COMPUTED_VALUE"""),0.0)</f>
        <v>0</v>
      </c>
      <c r="H26" s="15">
        <f>IFERROR(__xludf.DUMMYFUNCTION("""COMPUTED_VALUE"""),0.0)</f>
        <v>0</v>
      </c>
      <c r="I26" s="15">
        <f>IFERROR(__xludf.DUMMYFUNCTION("""COMPUTED_VALUE"""),1733.084)</f>
        <v>1733.084</v>
      </c>
      <c r="J26" s="15">
        <f>IFERROR(__xludf.DUMMYFUNCTION("""COMPUTED_VALUE"""),0.0)</f>
        <v>0</v>
      </c>
      <c r="K26" s="15">
        <f>IFERROR(__xludf.DUMMYFUNCTION("""COMPUTED_VALUE"""),0.0)</f>
        <v>0</v>
      </c>
      <c r="L26" s="14" t="b">
        <v>0</v>
      </c>
    </row>
    <row r="27">
      <c r="A27" s="14">
        <f>IFERROR(__xludf.DUMMYFUNCTION("""COMPUTED_VALUE"""),2.026505E7)</f>
        <v>20265050</v>
      </c>
      <c r="B27" s="14" t="str">
        <f>IFERROR(__xludf.DUMMYFUNCTION("""COMPUTED_VALUE"""),"Nick Robinson")</f>
        <v>Nick Robinson</v>
      </c>
      <c r="C27" s="14" t="b">
        <f>IFERROR(__xludf.DUMMYFUNCTION("""COMPUTED_VALUE"""),FALSE)</f>
        <v>0</v>
      </c>
      <c r="D27" s="21" t="str">
        <f>IFERROR(__xludf.DUMMYFUNCTION("""COMPUTED_VALUE"""),"")</f>
        <v/>
      </c>
      <c r="E27" s="15">
        <f>IFERROR(__xludf.DUMMYFUNCTION("""COMPUTED_VALUE"""),0.0)</f>
        <v>0</v>
      </c>
      <c r="F27" s="15">
        <f>IFERROR(__xludf.DUMMYFUNCTION("""COMPUTED_VALUE"""),0.0)</f>
        <v>0</v>
      </c>
      <c r="G27" s="15">
        <f>IFERROR(__xludf.DUMMYFUNCTION("""COMPUTED_VALUE"""),0.0)</f>
        <v>0</v>
      </c>
      <c r="H27" s="15">
        <f>IFERROR(__xludf.DUMMYFUNCTION("""COMPUTED_VALUE"""),0.0)</f>
        <v>0</v>
      </c>
      <c r="I27" s="15">
        <f>IFERROR(__xludf.DUMMYFUNCTION("""COMPUTED_VALUE"""),0.0)</f>
        <v>0</v>
      </c>
      <c r="J27" s="15">
        <f>IFERROR(__xludf.DUMMYFUNCTION("""COMPUTED_VALUE"""),0.0)</f>
        <v>0</v>
      </c>
      <c r="K27" s="15">
        <f>IFERROR(__xludf.DUMMYFUNCTION("""COMPUTED_VALUE"""),0.0)</f>
        <v>0</v>
      </c>
      <c r="L27" s="14" t="b">
        <v>0</v>
      </c>
    </row>
    <row r="28">
      <c r="A28" s="14">
        <f>IFERROR(__xludf.DUMMYFUNCTION("""COMPUTED_VALUE"""),2.0265051E7)</f>
        <v>20265051</v>
      </c>
      <c r="B28" s="14" t="str">
        <f>IFERROR(__xludf.DUMMYFUNCTION("""COMPUTED_VALUE"""),"INS - Margaret Vancauwenbergh")</f>
        <v>INS - Margaret Vancauwenbergh</v>
      </c>
      <c r="C28" s="14" t="b">
        <f>IFERROR(__xludf.DUMMYFUNCTION("""COMPUTED_VALUE"""),FALSE)</f>
        <v>0</v>
      </c>
      <c r="D28" s="21" t="str">
        <f>IFERROR(__xludf.DUMMYFUNCTION("""COMPUTED_VALUE"""),"")</f>
        <v/>
      </c>
      <c r="E28" s="15">
        <f>IFERROR(__xludf.DUMMYFUNCTION("""COMPUTED_VALUE"""),0.0)</f>
        <v>0</v>
      </c>
      <c r="F28" s="15">
        <f>IFERROR(__xludf.DUMMYFUNCTION("""COMPUTED_VALUE"""),0.0)</f>
        <v>0</v>
      </c>
      <c r="G28" s="15">
        <f>IFERROR(__xludf.DUMMYFUNCTION("""COMPUTED_VALUE"""),0.0)</f>
        <v>0</v>
      </c>
      <c r="H28" s="15">
        <f>IFERROR(__xludf.DUMMYFUNCTION("""COMPUTED_VALUE"""),0.0)</f>
        <v>0</v>
      </c>
      <c r="I28" s="15">
        <f>IFERROR(__xludf.DUMMYFUNCTION("""COMPUTED_VALUE"""),0.0)</f>
        <v>0</v>
      </c>
      <c r="J28" s="15">
        <f>IFERROR(__xludf.DUMMYFUNCTION("""COMPUTED_VALUE"""),0.0)</f>
        <v>0</v>
      </c>
      <c r="K28" s="15">
        <f>IFERROR(__xludf.DUMMYFUNCTION("""COMPUTED_VALUE"""),0.0)</f>
        <v>0</v>
      </c>
      <c r="L28" s="14" t="b">
        <v>0</v>
      </c>
    </row>
    <row r="29">
      <c r="A29" s="14">
        <f>IFERROR(__xludf.DUMMYFUNCTION("""COMPUTED_VALUE"""),2.0265053E7)</f>
        <v>20265053</v>
      </c>
      <c r="B29" s="14" t="str">
        <f>IFERROR(__xludf.DUMMYFUNCTION("""COMPUTED_VALUE"""),"INS - Doug Sears")</f>
        <v>INS - Doug Sears</v>
      </c>
      <c r="C29" s="14" t="b">
        <f>IFERROR(__xludf.DUMMYFUNCTION("""COMPUTED_VALUE"""),FALSE)</f>
        <v>0</v>
      </c>
      <c r="D29" s="21" t="str">
        <f>IFERROR(__xludf.DUMMYFUNCTION("""COMPUTED_VALUE"""),"")</f>
        <v/>
      </c>
      <c r="E29" s="15">
        <f>IFERROR(__xludf.DUMMYFUNCTION("""COMPUTED_VALUE"""),0.0)</f>
        <v>0</v>
      </c>
      <c r="F29" s="15">
        <f>IFERROR(__xludf.DUMMYFUNCTION("""COMPUTED_VALUE"""),0.0)</f>
        <v>0</v>
      </c>
      <c r="G29" s="15">
        <f>IFERROR(__xludf.DUMMYFUNCTION("""COMPUTED_VALUE"""),0.0)</f>
        <v>0</v>
      </c>
      <c r="H29" s="15">
        <f>IFERROR(__xludf.DUMMYFUNCTION("""COMPUTED_VALUE"""),0.0)</f>
        <v>0</v>
      </c>
      <c r="I29" s="15">
        <f>IFERROR(__xludf.DUMMYFUNCTION("""COMPUTED_VALUE"""),0.0)</f>
        <v>0</v>
      </c>
      <c r="J29" s="15">
        <f>IFERROR(__xludf.DUMMYFUNCTION("""COMPUTED_VALUE"""),0.0)</f>
        <v>0</v>
      </c>
      <c r="K29" s="15">
        <f>IFERROR(__xludf.DUMMYFUNCTION("""COMPUTED_VALUE"""),0.0)</f>
        <v>0</v>
      </c>
      <c r="L29" s="14" t="b">
        <v>0</v>
      </c>
    </row>
    <row r="30">
      <c r="A30" s="14">
        <f>IFERROR(__xludf.DUMMYFUNCTION("""COMPUTED_VALUE"""),2.0265055E7)</f>
        <v>20265055</v>
      </c>
      <c r="B30" s="14" t="str">
        <f>IFERROR(__xludf.DUMMYFUNCTION("""COMPUTED_VALUE"""),"INS - Joe Kendal")</f>
        <v>INS - Joe Kendal</v>
      </c>
      <c r="C30" s="14" t="b">
        <f>IFERROR(__xludf.DUMMYFUNCTION("""COMPUTED_VALUE"""),FALSE)</f>
        <v>0</v>
      </c>
      <c r="D30" s="21" t="str">
        <f>IFERROR(__xludf.DUMMYFUNCTION("""COMPUTED_VALUE"""),"")</f>
        <v/>
      </c>
      <c r="E30" s="15">
        <f>IFERROR(__xludf.DUMMYFUNCTION("""COMPUTED_VALUE"""),0.0)</f>
        <v>0</v>
      </c>
      <c r="F30" s="15">
        <f>IFERROR(__xludf.DUMMYFUNCTION("""COMPUTED_VALUE"""),0.0)</f>
        <v>0</v>
      </c>
      <c r="G30" s="15">
        <f>IFERROR(__xludf.DUMMYFUNCTION("""COMPUTED_VALUE"""),0.0)</f>
        <v>0</v>
      </c>
      <c r="H30" s="15">
        <f>IFERROR(__xludf.DUMMYFUNCTION("""COMPUTED_VALUE"""),0.0)</f>
        <v>0</v>
      </c>
      <c r="I30" s="15">
        <f>IFERROR(__xludf.DUMMYFUNCTION("""COMPUTED_VALUE"""),0.0)</f>
        <v>0</v>
      </c>
      <c r="J30" s="15">
        <f>IFERROR(__xludf.DUMMYFUNCTION("""COMPUTED_VALUE"""),0.0)</f>
        <v>0</v>
      </c>
      <c r="K30" s="15">
        <f>IFERROR(__xludf.DUMMYFUNCTION("""COMPUTED_VALUE"""),0.0)</f>
        <v>0</v>
      </c>
      <c r="L30" s="14" t="b">
        <v>0</v>
      </c>
    </row>
    <row r="31">
      <c r="A31" s="14">
        <f>IFERROR(__xludf.DUMMYFUNCTION("""COMPUTED_VALUE"""),2.0265056E7)</f>
        <v>20265056</v>
      </c>
      <c r="B31" s="14" t="str">
        <f>IFERROR(__xludf.DUMMYFUNCTION("""COMPUTED_VALUE"""),"INS - Mike Hild Rental")</f>
        <v>INS - Mike Hild Rental</v>
      </c>
      <c r="C31" s="14" t="b">
        <f>IFERROR(__xludf.DUMMYFUNCTION("""COMPUTED_VALUE"""),FALSE)</f>
        <v>0</v>
      </c>
      <c r="D31" s="21" t="str">
        <f>IFERROR(__xludf.DUMMYFUNCTION("""COMPUTED_VALUE"""),"")</f>
        <v/>
      </c>
      <c r="E31" s="15">
        <f>IFERROR(__xludf.DUMMYFUNCTION("""COMPUTED_VALUE"""),1321.13)</f>
        <v>1321.13</v>
      </c>
      <c r="F31" s="15">
        <f>IFERROR(__xludf.DUMMYFUNCTION("""COMPUTED_VALUE"""),0.0)</f>
        <v>0</v>
      </c>
      <c r="G31" s="15">
        <f>IFERROR(__xludf.DUMMYFUNCTION("""COMPUTED_VALUE"""),0.0)</f>
        <v>0</v>
      </c>
      <c r="H31" s="15">
        <f>IFERROR(__xludf.DUMMYFUNCTION("""COMPUTED_VALUE"""),0.0)</f>
        <v>0</v>
      </c>
      <c r="I31" s="15">
        <f>IFERROR(__xludf.DUMMYFUNCTION("""COMPUTED_VALUE"""),132.11300000000003)</f>
        <v>132.113</v>
      </c>
      <c r="J31" s="15">
        <f>IFERROR(__xludf.DUMMYFUNCTION("""COMPUTED_VALUE"""),0.0)</f>
        <v>0</v>
      </c>
      <c r="K31" s="15">
        <f>IFERROR(__xludf.DUMMYFUNCTION("""COMPUTED_VALUE"""),0.0)</f>
        <v>0</v>
      </c>
      <c r="L31" s="14" t="b">
        <v>0</v>
      </c>
    </row>
    <row r="32">
      <c r="A32" s="14">
        <f>IFERROR(__xludf.DUMMYFUNCTION("""COMPUTED_VALUE"""),2.0265059E7)</f>
        <v>20265059</v>
      </c>
      <c r="B32" s="14" t="str">
        <f>IFERROR(__xludf.DUMMYFUNCTION("""COMPUTED_VALUE"""),"INS - Matt Snider")</f>
        <v>INS - Matt Snider</v>
      </c>
      <c r="C32" s="14" t="b">
        <f>IFERROR(__xludf.DUMMYFUNCTION("""COMPUTED_VALUE"""),FALSE)</f>
        <v>0</v>
      </c>
      <c r="D32" s="21" t="str">
        <f>IFERROR(__xludf.DUMMYFUNCTION("""COMPUTED_VALUE"""),"")</f>
        <v/>
      </c>
      <c r="E32" s="15">
        <f>IFERROR(__xludf.DUMMYFUNCTION("""COMPUTED_VALUE"""),0.0)</f>
        <v>0</v>
      </c>
      <c r="F32" s="15">
        <f>IFERROR(__xludf.DUMMYFUNCTION("""COMPUTED_VALUE"""),0.0)</f>
        <v>0</v>
      </c>
      <c r="G32" s="15">
        <f>IFERROR(__xludf.DUMMYFUNCTION("""COMPUTED_VALUE"""),0.0)</f>
        <v>0</v>
      </c>
      <c r="H32" s="15">
        <f>IFERROR(__xludf.DUMMYFUNCTION("""COMPUTED_VALUE"""),0.0)</f>
        <v>0</v>
      </c>
      <c r="I32" s="15">
        <f>IFERROR(__xludf.DUMMYFUNCTION("""COMPUTED_VALUE"""),0.0)</f>
        <v>0</v>
      </c>
      <c r="J32" s="15">
        <f>IFERROR(__xludf.DUMMYFUNCTION("""COMPUTED_VALUE"""),0.0)</f>
        <v>0</v>
      </c>
      <c r="K32" s="15">
        <f>IFERROR(__xludf.DUMMYFUNCTION("""COMPUTED_VALUE"""),0.0)</f>
        <v>0</v>
      </c>
      <c r="L32" s="14" t="b">
        <v>0</v>
      </c>
    </row>
    <row r="33">
      <c r="A33" s="14">
        <f>IFERROR(__xludf.DUMMYFUNCTION("""COMPUTED_VALUE"""),2.026506E7)</f>
        <v>20265060</v>
      </c>
      <c r="B33" s="14" t="str">
        <f>IFERROR(__xludf.DUMMYFUNCTION("""COMPUTED_VALUE"""),"INS - Randy Hawkins")</f>
        <v>INS - Randy Hawkins</v>
      </c>
      <c r="C33" s="14" t="b">
        <f>IFERROR(__xludf.DUMMYFUNCTION("""COMPUTED_VALUE"""),FALSE)</f>
        <v>0</v>
      </c>
      <c r="D33" s="21" t="str">
        <f>IFERROR(__xludf.DUMMYFUNCTION("""COMPUTED_VALUE"""),"")</f>
        <v/>
      </c>
      <c r="E33" s="15">
        <f>IFERROR(__xludf.DUMMYFUNCTION("""COMPUTED_VALUE"""),0.0)</f>
        <v>0</v>
      </c>
      <c r="F33" s="15">
        <f>IFERROR(__xludf.DUMMYFUNCTION("""COMPUTED_VALUE"""),0.0)</f>
        <v>0</v>
      </c>
      <c r="G33" s="15">
        <f>IFERROR(__xludf.DUMMYFUNCTION("""COMPUTED_VALUE"""),0.0)</f>
        <v>0</v>
      </c>
      <c r="H33" s="15">
        <f>IFERROR(__xludf.DUMMYFUNCTION("""COMPUTED_VALUE"""),0.0)</f>
        <v>0</v>
      </c>
      <c r="I33" s="15">
        <f>IFERROR(__xludf.DUMMYFUNCTION("""COMPUTED_VALUE"""),0.0)</f>
        <v>0</v>
      </c>
      <c r="J33" s="15">
        <f>IFERROR(__xludf.DUMMYFUNCTION("""COMPUTED_VALUE"""),0.0)</f>
        <v>0</v>
      </c>
      <c r="K33" s="15">
        <f>IFERROR(__xludf.DUMMYFUNCTION("""COMPUTED_VALUE"""),0.0)</f>
        <v>0</v>
      </c>
      <c r="L33" s="14" t="b">
        <v>0</v>
      </c>
    </row>
    <row r="34">
      <c r="A34" s="14">
        <f>IFERROR(__xludf.DUMMYFUNCTION("""COMPUTED_VALUE"""),2.0265061E7)</f>
        <v>20265061</v>
      </c>
      <c r="B34" s="14" t="str">
        <f>IFERROR(__xludf.DUMMYFUNCTION("""COMPUTED_VALUE"""),"INS - Bob Bradley")</f>
        <v>INS - Bob Bradley</v>
      </c>
      <c r="C34" s="14" t="b">
        <f>IFERROR(__xludf.DUMMYFUNCTION("""COMPUTED_VALUE"""),FALSE)</f>
        <v>0</v>
      </c>
      <c r="D34" s="21" t="str">
        <f>IFERROR(__xludf.DUMMYFUNCTION("""COMPUTED_VALUE"""),"")</f>
        <v/>
      </c>
      <c r="E34" s="15">
        <f>IFERROR(__xludf.DUMMYFUNCTION("""COMPUTED_VALUE"""),9210.97)</f>
        <v>9210.97</v>
      </c>
      <c r="F34" s="15">
        <f>IFERROR(__xludf.DUMMYFUNCTION("""COMPUTED_VALUE"""),0.0)</f>
        <v>0</v>
      </c>
      <c r="G34" s="15">
        <f>IFERROR(__xludf.DUMMYFUNCTION("""COMPUTED_VALUE"""),0.0)</f>
        <v>0</v>
      </c>
      <c r="H34" s="15">
        <f>IFERROR(__xludf.DUMMYFUNCTION("""COMPUTED_VALUE"""),0.0)</f>
        <v>0</v>
      </c>
      <c r="I34" s="15">
        <f>IFERROR(__xludf.DUMMYFUNCTION("""COMPUTED_VALUE"""),921.097)</f>
        <v>921.097</v>
      </c>
      <c r="J34" s="15">
        <f>IFERROR(__xludf.DUMMYFUNCTION("""COMPUTED_VALUE"""),0.0)</f>
        <v>0</v>
      </c>
      <c r="K34" s="15">
        <f>IFERROR(__xludf.DUMMYFUNCTION("""COMPUTED_VALUE"""),0.0)</f>
        <v>0</v>
      </c>
      <c r="L34" s="14" t="b">
        <v>0</v>
      </c>
    </row>
    <row r="35">
      <c r="A35" s="14">
        <f>IFERROR(__xludf.DUMMYFUNCTION("""COMPUTED_VALUE"""),2.0265063E7)</f>
        <v>20265063</v>
      </c>
      <c r="B35" s="14" t="str">
        <f>IFERROR(__xludf.DUMMYFUNCTION("""COMPUTED_VALUE"""),"INS - John  Stockstill")</f>
        <v>INS - John  Stockstill</v>
      </c>
      <c r="C35" s="14" t="b">
        <f>IFERROR(__xludf.DUMMYFUNCTION("""COMPUTED_VALUE"""),FALSE)</f>
        <v>0</v>
      </c>
      <c r="D35" s="21" t="str">
        <f>IFERROR(__xludf.DUMMYFUNCTION("""COMPUTED_VALUE"""),"")</f>
        <v/>
      </c>
      <c r="E35" s="15">
        <f>IFERROR(__xludf.DUMMYFUNCTION("""COMPUTED_VALUE"""),11601.56)</f>
        <v>11601.56</v>
      </c>
      <c r="F35" s="15">
        <f>IFERROR(__xludf.DUMMYFUNCTION("""COMPUTED_VALUE"""),0.0)</f>
        <v>0</v>
      </c>
      <c r="G35" s="15">
        <f>IFERROR(__xludf.DUMMYFUNCTION("""COMPUTED_VALUE"""),0.0)</f>
        <v>0</v>
      </c>
      <c r="H35" s="15">
        <f>IFERROR(__xludf.DUMMYFUNCTION("""COMPUTED_VALUE"""),0.0)</f>
        <v>0</v>
      </c>
      <c r="I35" s="15">
        <f>IFERROR(__xludf.DUMMYFUNCTION("""COMPUTED_VALUE"""),1160.156)</f>
        <v>1160.156</v>
      </c>
      <c r="J35" s="15">
        <f>IFERROR(__xludf.DUMMYFUNCTION("""COMPUTED_VALUE"""),0.0)</f>
        <v>0</v>
      </c>
      <c r="K35" s="15">
        <f>IFERROR(__xludf.DUMMYFUNCTION("""COMPUTED_VALUE"""),0.0)</f>
        <v>0</v>
      </c>
      <c r="L35" s="14" t="b">
        <v>0</v>
      </c>
    </row>
    <row r="36">
      <c r="A36" s="14">
        <f>IFERROR(__xludf.DUMMYFUNCTION("""COMPUTED_VALUE"""),2.0265064E7)</f>
        <v>20265064</v>
      </c>
      <c r="B36" s="14" t="str">
        <f>IFERROR(__xludf.DUMMYFUNCTION("""COMPUTED_VALUE"""),"INS - Robert Hope")</f>
        <v>INS - Robert Hope</v>
      </c>
      <c r="C36" s="14" t="b">
        <f>IFERROR(__xludf.DUMMYFUNCTION("""COMPUTED_VALUE"""),FALSE)</f>
        <v>0</v>
      </c>
      <c r="D36" s="21" t="str">
        <f>IFERROR(__xludf.DUMMYFUNCTION("""COMPUTED_VALUE"""),"")</f>
        <v/>
      </c>
      <c r="E36" s="15">
        <f>IFERROR(__xludf.DUMMYFUNCTION("""COMPUTED_VALUE"""),0.0)</f>
        <v>0</v>
      </c>
      <c r="F36" s="15">
        <f>IFERROR(__xludf.DUMMYFUNCTION("""COMPUTED_VALUE"""),0.0)</f>
        <v>0</v>
      </c>
      <c r="G36" s="15">
        <f>IFERROR(__xludf.DUMMYFUNCTION("""COMPUTED_VALUE"""),0.0)</f>
        <v>0</v>
      </c>
      <c r="H36" s="15">
        <f>IFERROR(__xludf.DUMMYFUNCTION("""COMPUTED_VALUE"""),0.0)</f>
        <v>0</v>
      </c>
      <c r="I36" s="15">
        <f>IFERROR(__xludf.DUMMYFUNCTION("""COMPUTED_VALUE"""),0.0)</f>
        <v>0</v>
      </c>
      <c r="J36" s="15">
        <f>IFERROR(__xludf.DUMMYFUNCTION("""COMPUTED_VALUE"""),0.0)</f>
        <v>0</v>
      </c>
      <c r="K36" s="15">
        <f>IFERROR(__xludf.DUMMYFUNCTION("""COMPUTED_VALUE"""),0.0)</f>
        <v>0</v>
      </c>
      <c r="L36" s="14" t="b">
        <v>0</v>
      </c>
    </row>
    <row r="37">
      <c r="A37" s="14">
        <f>IFERROR(__xludf.DUMMYFUNCTION("""COMPUTED_VALUE"""),2.0265068E7)</f>
        <v>20265068</v>
      </c>
      <c r="B37" s="14" t="str">
        <f>IFERROR(__xludf.DUMMYFUNCTION("""COMPUTED_VALUE"""),"INS - Jonathan Humphreys")</f>
        <v>INS - Jonathan Humphreys</v>
      </c>
      <c r="C37" s="14" t="b">
        <f>IFERROR(__xludf.DUMMYFUNCTION("""COMPUTED_VALUE"""),FALSE)</f>
        <v>0</v>
      </c>
      <c r="D37" s="21" t="str">
        <f>IFERROR(__xludf.DUMMYFUNCTION("""COMPUTED_VALUE"""),"")</f>
        <v/>
      </c>
      <c r="E37" s="15">
        <f>IFERROR(__xludf.DUMMYFUNCTION("""COMPUTED_VALUE"""),0.0)</f>
        <v>0</v>
      </c>
      <c r="F37" s="15">
        <f>IFERROR(__xludf.DUMMYFUNCTION("""COMPUTED_VALUE"""),0.0)</f>
        <v>0</v>
      </c>
      <c r="G37" s="15">
        <f>IFERROR(__xludf.DUMMYFUNCTION("""COMPUTED_VALUE"""),0.0)</f>
        <v>0</v>
      </c>
      <c r="H37" s="15">
        <f>IFERROR(__xludf.DUMMYFUNCTION("""COMPUTED_VALUE"""),0.0)</f>
        <v>0</v>
      </c>
      <c r="I37" s="15">
        <f>IFERROR(__xludf.DUMMYFUNCTION("""COMPUTED_VALUE"""),0.0)</f>
        <v>0</v>
      </c>
      <c r="J37" s="15">
        <f>IFERROR(__xludf.DUMMYFUNCTION("""COMPUTED_VALUE"""),0.0)</f>
        <v>0</v>
      </c>
      <c r="K37" s="15">
        <f>IFERROR(__xludf.DUMMYFUNCTION("""COMPUTED_VALUE"""),0.0)</f>
        <v>0</v>
      </c>
      <c r="L37" s="14" t="b">
        <v>0</v>
      </c>
    </row>
    <row r="38">
      <c r="A38" s="14">
        <f>IFERROR(__xludf.DUMMYFUNCTION("""COMPUTED_VALUE"""),2.0265071E7)</f>
        <v>20265071</v>
      </c>
      <c r="B38" s="14" t="str">
        <f>IFERROR(__xludf.DUMMYFUNCTION("""COMPUTED_VALUE"""),"INS - Steve Elrich")</f>
        <v>INS - Steve Elrich</v>
      </c>
      <c r="C38" s="14" t="b">
        <f>IFERROR(__xludf.DUMMYFUNCTION("""COMPUTED_VALUE"""),FALSE)</f>
        <v>0</v>
      </c>
      <c r="D38" s="21" t="str">
        <f>IFERROR(__xludf.DUMMYFUNCTION("""COMPUTED_VALUE"""),"")</f>
        <v/>
      </c>
      <c r="E38" s="15">
        <f>IFERROR(__xludf.DUMMYFUNCTION("""COMPUTED_VALUE"""),25681.99)</f>
        <v>25681.99</v>
      </c>
      <c r="F38" s="15">
        <f>IFERROR(__xludf.DUMMYFUNCTION("""COMPUTED_VALUE"""),0.0)</f>
        <v>0</v>
      </c>
      <c r="G38" s="15">
        <f>IFERROR(__xludf.DUMMYFUNCTION("""COMPUTED_VALUE"""),0.0)</f>
        <v>0</v>
      </c>
      <c r="H38" s="15">
        <f>IFERROR(__xludf.DUMMYFUNCTION("""COMPUTED_VALUE"""),0.0)</f>
        <v>0</v>
      </c>
      <c r="I38" s="15">
        <f>IFERROR(__xludf.DUMMYFUNCTION("""COMPUTED_VALUE"""),2568.1990000000005)</f>
        <v>2568.199</v>
      </c>
      <c r="J38" s="15">
        <f>IFERROR(__xludf.DUMMYFUNCTION("""COMPUTED_VALUE"""),0.0)</f>
        <v>0</v>
      </c>
      <c r="K38" s="15">
        <f>IFERROR(__xludf.DUMMYFUNCTION("""COMPUTED_VALUE"""),0.0)</f>
        <v>0</v>
      </c>
      <c r="L38" s="14" t="b">
        <v>0</v>
      </c>
    </row>
    <row r="39">
      <c r="A39" s="17">
        <f>IFERROR(__xludf.DUMMYFUNCTION("""COMPUTED_VALUE"""),2.0265075E7)</f>
        <v>20265075</v>
      </c>
      <c r="B39" s="17" t="str">
        <f>IFERROR(__xludf.DUMMYFUNCTION("""COMPUTED_VALUE"""),"INS - Maurice Docton")</f>
        <v>INS - Maurice Docton</v>
      </c>
      <c r="C39" s="17" t="b">
        <f>IFERROR(__xludf.DUMMYFUNCTION("""COMPUTED_VALUE"""),TRUE)</f>
        <v>1</v>
      </c>
      <c r="D39" s="18">
        <f>IFERROR(__xludf.DUMMYFUNCTION("""COMPUTED_VALUE"""),1.0)</f>
        <v>1</v>
      </c>
      <c r="E39" s="19">
        <f>IFERROR(__xludf.DUMMYFUNCTION("""COMPUTED_VALUE"""),544.79)</f>
        <v>544.79</v>
      </c>
      <c r="F39" s="19">
        <f>IFERROR(__xludf.DUMMYFUNCTION("""COMPUTED_VALUE"""),55.210000000000036)</f>
        <v>55.21</v>
      </c>
      <c r="G39" s="19">
        <f>IFERROR(__xludf.DUMMYFUNCTION("""COMPUTED_VALUE"""),544.79)</f>
        <v>544.79</v>
      </c>
      <c r="H39" s="19">
        <f>IFERROR(__xludf.DUMMYFUNCTION("""COMPUTED_VALUE"""),600.0)</f>
        <v>600</v>
      </c>
      <c r="I39" s="19">
        <f>IFERROR(__xludf.DUMMYFUNCTION("""COMPUTED_VALUE"""),60.0)</f>
        <v>60</v>
      </c>
      <c r="J39" s="19">
        <f>IFERROR(__xludf.DUMMYFUNCTION("""COMPUTED_VALUE"""),60.0)</f>
        <v>60</v>
      </c>
      <c r="K39" s="19">
        <f>IFERROR(__xludf.DUMMYFUNCTION("""COMPUTED_VALUE"""),0.0)</f>
        <v>0</v>
      </c>
      <c r="L39" s="20" t="b">
        <v>0</v>
      </c>
    </row>
    <row r="40">
      <c r="A40" s="14">
        <f>IFERROR(__xludf.DUMMYFUNCTION("""COMPUTED_VALUE"""),2.0265077E7)</f>
        <v>20265077</v>
      </c>
      <c r="B40" s="14" t="str">
        <f>IFERROR(__xludf.DUMMYFUNCTION("""COMPUTED_VALUE"""),"Stacey Underwood")</f>
        <v>Stacey Underwood</v>
      </c>
      <c r="C40" s="14" t="b">
        <f>IFERROR(__xludf.DUMMYFUNCTION("""COMPUTED_VALUE"""),FALSE)</f>
        <v>0</v>
      </c>
      <c r="D40" s="21" t="str">
        <f>IFERROR(__xludf.DUMMYFUNCTION("""COMPUTED_VALUE"""),"")</f>
        <v/>
      </c>
      <c r="E40" s="15">
        <f>IFERROR(__xludf.DUMMYFUNCTION("""COMPUTED_VALUE"""),0.0)</f>
        <v>0</v>
      </c>
      <c r="F40" s="15">
        <f>IFERROR(__xludf.DUMMYFUNCTION("""COMPUTED_VALUE"""),0.0)</f>
        <v>0</v>
      </c>
      <c r="G40" s="15">
        <f>IFERROR(__xludf.DUMMYFUNCTION("""COMPUTED_VALUE"""),0.0)</f>
        <v>0</v>
      </c>
      <c r="H40" s="15">
        <f>IFERROR(__xludf.DUMMYFUNCTION("""COMPUTED_VALUE"""),0.0)</f>
        <v>0</v>
      </c>
      <c r="I40" s="15">
        <f>IFERROR(__xludf.DUMMYFUNCTION("""COMPUTED_VALUE"""),0.0)</f>
        <v>0</v>
      </c>
      <c r="J40" s="15">
        <f>IFERROR(__xludf.DUMMYFUNCTION("""COMPUTED_VALUE"""),0.0)</f>
        <v>0</v>
      </c>
      <c r="K40" s="15">
        <f>IFERROR(__xludf.DUMMYFUNCTION("""COMPUTED_VALUE"""),0.0)</f>
        <v>0</v>
      </c>
      <c r="L40" s="14" t="b">
        <v>0</v>
      </c>
    </row>
    <row r="41">
      <c r="A41" s="14">
        <f>IFERROR(__xludf.DUMMYFUNCTION("""COMPUTED_VALUE"""),2.0265079E7)</f>
        <v>20265079</v>
      </c>
      <c r="B41" s="14" t="str">
        <f>IFERROR(__xludf.DUMMYFUNCTION("""COMPUTED_VALUE"""),"Paula Pinson")</f>
        <v>Paula Pinson</v>
      </c>
      <c r="C41" s="14" t="b">
        <f>IFERROR(__xludf.DUMMYFUNCTION("""COMPUTED_VALUE"""),FALSE)</f>
        <v>0</v>
      </c>
      <c r="D41" s="21" t="str">
        <f>IFERROR(__xludf.DUMMYFUNCTION("""COMPUTED_VALUE"""),"")</f>
        <v/>
      </c>
      <c r="E41" s="15">
        <f>IFERROR(__xludf.DUMMYFUNCTION("""COMPUTED_VALUE"""),597.18)</f>
        <v>597.18</v>
      </c>
      <c r="F41" s="15">
        <f>IFERROR(__xludf.DUMMYFUNCTION("""COMPUTED_VALUE"""),0.0)</f>
        <v>0</v>
      </c>
      <c r="G41" s="15">
        <f>IFERROR(__xludf.DUMMYFUNCTION("""COMPUTED_VALUE"""),0.0)</f>
        <v>0</v>
      </c>
      <c r="H41" s="15">
        <f>IFERROR(__xludf.DUMMYFUNCTION("""COMPUTED_VALUE"""),0.0)</f>
        <v>0</v>
      </c>
      <c r="I41" s="15">
        <f>IFERROR(__xludf.DUMMYFUNCTION("""COMPUTED_VALUE"""),59.717999999999996)</f>
        <v>59.718</v>
      </c>
      <c r="J41" s="15">
        <f>IFERROR(__xludf.DUMMYFUNCTION("""COMPUTED_VALUE"""),0.0)</f>
        <v>0</v>
      </c>
      <c r="K41" s="15">
        <f>IFERROR(__xludf.DUMMYFUNCTION("""COMPUTED_VALUE"""),0.0)</f>
        <v>0</v>
      </c>
      <c r="L41" s="14" t="b">
        <v>0</v>
      </c>
    </row>
    <row r="42">
      <c r="A42" s="14">
        <f>IFERROR(__xludf.DUMMYFUNCTION("""COMPUTED_VALUE"""),2.0265081E7)</f>
        <v>20265081</v>
      </c>
      <c r="B42" s="14" t="str">
        <f>IFERROR(__xludf.DUMMYFUNCTION("""COMPUTED_VALUE"""),"Amy Hirsch")</f>
        <v>Amy Hirsch</v>
      </c>
      <c r="C42" s="14" t="b">
        <f>IFERROR(__xludf.DUMMYFUNCTION("""COMPUTED_VALUE"""),FALSE)</f>
        <v>0</v>
      </c>
      <c r="D42" s="21" t="str">
        <f>IFERROR(__xludf.DUMMYFUNCTION("""COMPUTED_VALUE"""),"")</f>
        <v/>
      </c>
      <c r="E42" s="15">
        <f>IFERROR(__xludf.DUMMYFUNCTION("""COMPUTED_VALUE"""),0.0)</f>
        <v>0</v>
      </c>
      <c r="F42" s="15">
        <f>IFERROR(__xludf.DUMMYFUNCTION("""COMPUTED_VALUE"""),0.0)</f>
        <v>0</v>
      </c>
      <c r="G42" s="15">
        <f>IFERROR(__xludf.DUMMYFUNCTION("""COMPUTED_VALUE"""),0.0)</f>
        <v>0</v>
      </c>
      <c r="H42" s="15">
        <f>IFERROR(__xludf.DUMMYFUNCTION("""COMPUTED_VALUE"""),0.0)</f>
        <v>0</v>
      </c>
      <c r="I42" s="15">
        <f>IFERROR(__xludf.DUMMYFUNCTION("""COMPUTED_VALUE"""),0.0)</f>
        <v>0</v>
      </c>
      <c r="J42" s="15">
        <f>IFERROR(__xludf.DUMMYFUNCTION("""COMPUTED_VALUE"""),0.0)</f>
        <v>0</v>
      </c>
      <c r="K42" s="15">
        <f>IFERROR(__xludf.DUMMYFUNCTION("""COMPUTED_VALUE"""),0.0)</f>
        <v>0</v>
      </c>
      <c r="L42" s="14" t="b">
        <v>0</v>
      </c>
    </row>
    <row r="43">
      <c r="A43" s="17">
        <f>IFERROR(__xludf.DUMMYFUNCTION("""COMPUTED_VALUE"""),2.0265083E7)</f>
        <v>20265083</v>
      </c>
      <c r="B43" s="17" t="str">
        <f>IFERROR(__xludf.DUMMYFUNCTION("""COMPUTED_VALUE"""),"Belkis Siebert")</f>
        <v>Belkis Siebert</v>
      </c>
      <c r="C43" s="17" t="b">
        <f>IFERROR(__xludf.DUMMYFUNCTION("""COMPUTED_VALUE"""),TRUE)</f>
        <v>1</v>
      </c>
      <c r="D43" s="18">
        <f>IFERROR(__xludf.DUMMYFUNCTION("""COMPUTED_VALUE"""),1.0)</f>
        <v>1</v>
      </c>
      <c r="E43" s="19">
        <f>IFERROR(__xludf.DUMMYFUNCTION("""COMPUTED_VALUE"""),18050.11)</f>
        <v>18050.11</v>
      </c>
      <c r="F43" s="19">
        <f>IFERROR(__xludf.DUMMYFUNCTION("""COMPUTED_VALUE"""),-17550.11)</f>
        <v>-17550.11</v>
      </c>
      <c r="G43" s="19">
        <f>IFERROR(__xludf.DUMMYFUNCTION("""COMPUTED_VALUE"""),500.0)</f>
        <v>500</v>
      </c>
      <c r="H43" s="19">
        <f>IFERROR(__xludf.DUMMYFUNCTION("""COMPUTED_VALUE"""),500.0)</f>
        <v>500</v>
      </c>
      <c r="I43" s="19">
        <f>IFERROR(__xludf.DUMMYFUNCTION("""COMPUTED_VALUE"""),50.0)</f>
        <v>50</v>
      </c>
      <c r="J43" s="19">
        <f>IFERROR(__xludf.DUMMYFUNCTION("""COMPUTED_VALUE"""),50.0)</f>
        <v>50</v>
      </c>
      <c r="K43" s="19">
        <f>IFERROR(__xludf.DUMMYFUNCTION("""COMPUTED_VALUE"""),0.0)</f>
        <v>0</v>
      </c>
      <c r="L43" s="20" t="b">
        <v>0</v>
      </c>
    </row>
    <row r="44">
      <c r="A44" s="17">
        <f>IFERROR(__xludf.DUMMYFUNCTION("""COMPUTED_VALUE"""),2.0265085E7)</f>
        <v>20265085</v>
      </c>
      <c r="B44" s="17" t="str">
        <f>IFERROR(__xludf.DUMMYFUNCTION("""COMPUTED_VALUE"""),"Linda  Bantner")</f>
        <v>Linda  Bantner</v>
      </c>
      <c r="C44" s="17" t="b">
        <f>IFERROR(__xludf.DUMMYFUNCTION("""COMPUTED_VALUE"""),TRUE)</f>
        <v>1</v>
      </c>
      <c r="D44" s="18">
        <f>IFERROR(__xludf.DUMMYFUNCTION("""COMPUTED_VALUE"""),1.0)</f>
        <v>1</v>
      </c>
      <c r="E44" s="19">
        <f>IFERROR(__xludf.DUMMYFUNCTION("""COMPUTED_VALUE"""),761.25)</f>
        <v>761.25</v>
      </c>
      <c r="F44" s="19">
        <f>IFERROR(__xludf.DUMMYFUNCTION("""COMPUTED_VALUE"""),0.0)</f>
        <v>0</v>
      </c>
      <c r="G44" s="19">
        <f>IFERROR(__xludf.DUMMYFUNCTION("""COMPUTED_VALUE"""),761.25)</f>
        <v>761.25</v>
      </c>
      <c r="H44" s="19">
        <f>IFERROR(__xludf.DUMMYFUNCTION("""COMPUTED_VALUE"""),761.25)</f>
        <v>761.25</v>
      </c>
      <c r="I44" s="19">
        <f>IFERROR(__xludf.DUMMYFUNCTION("""COMPUTED_VALUE"""),76.125)</f>
        <v>76.125</v>
      </c>
      <c r="J44" s="19">
        <f>IFERROR(__xludf.DUMMYFUNCTION("""COMPUTED_VALUE"""),76.13)</f>
        <v>76.13</v>
      </c>
      <c r="K44" s="19">
        <f>IFERROR(__xludf.DUMMYFUNCTION("""COMPUTED_VALUE"""),0.0)</f>
        <v>0</v>
      </c>
      <c r="L44" s="20" t="b">
        <v>0</v>
      </c>
    </row>
    <row r="45">
      <c r="A45" s="14">
        <f>IFERROR(__xludf.DUMMYFUNCTION("""COMPUTED_VALUE"""),2.0265086E7)</f>
        <v>20265086</v>
      </c>
      <c r="B45" s="14" t="str">
        <f>IFERROR(__xludf.DUMMYFUNCTION("""COMPUTED_VALUE"""),"Jacob Dereshkevich")</f>
        <v>Jacob Dereshkevich</v>
      </c>
      <c r="C45" s="14" t="b">
        <f>IFERROR(__xludf.DUMMYFUNCTION("""COMPUTED_VALUE"""),FALSE)</f>
        <v>0</v>
      </c>
      <c r="D45" s="21">
        <f>IFERROR(__xludf.DUMMYFUNCTION("""COMPUTED_VALUE"""),0.4339961390540983)</f>
        <v>0.4339961391</v>
      </c>
      <c r="E45" s="15">
        <f>IFERROR(__xludf.DUMMYFUNCTION("""COMPUTED_VALUE"""),3330.79)</f>
        <v>3330.79</v>
      </c>
      <c r="F45" s="15">
        <f>IFERROR(__xludf.DUMMYFUNCTION("""COMPUTED_VALUE"""),0.0)</f>
        <v>0</v>
      </c>
      <c r="G45" s="15">
        <f>IFERROR(__xludf.DUMMYFUNCTION("""COMPUTED_VALUE"""),3330.79)</f>
        <v>3330.79</v>
      </c>
      <c r="H45" s="15">
        <f>IFERROR(__xludf.DUMMYFUNCTION("""COMPUTED_VALUE"""),0.0)</f>
        <v>0</v>
      </c>
      <c r="I45" s="15">
        <f>IFERROR(__xludf.DUMMYFUNCTION("""COMPUTED_VALUE"""),333.079)</f>
        <v>333.079</v>
      </c>
      <c r="J45" s="15">
        <f>IFERROR(__xludf.DUMMYFUNCTION("""COMPUTED_VALUE"""),0.0)</f>
        <v>0</v>
      </c>
      <c r="K45" s="15">
        <f>IFERROR(__xludf.DUMMYFUNCTION("""COMPUTED_VALUE"""),0.0)</f>
        <v>0</v>
      </c>
      <c r="L45" s="14" t="b">
        <v>0</v>
      </c>
    </row>
    <row r="46">
      <c r="A46" s="14">
        <f>IFERROR(__xludf.DUMMYFUNCTION("""COMPUTED_VALUE"""),2.0265088E7)</f>
        <v>20265088</v>
      </c>
      <c r="B46" s="14" t="str">
        <f>IFERROR(__xludf.DUMMYFUNCTION("""COMPUTED_VALUE"""),"INS - Cheryl DeBrosse")</f>
        <v>INS - Cheryl DeBrosse</v>
      </c>
      <c r="C46" s="14" t="b">
        <f>IFERROR(__xludf.DUMMYFUNCTION("""COMPUTED_VALUE"""),FALSE)</f>
        <v>0</v>
      </c>
      <c r="D46" s="21">
        <f>IFERROR(__xludf.DUMMYFUNCTION("""COMPUTED_VALUE"""),1.0)</f>
        <v>1</v>
      </c>
      <c r="E46" s="15">
        <f>IFERROR(__xludf.DUMMYFUNCTION("""COMPUTED_VALUE"""),4204.85)</f>
        <v>4204.85</v>
      </c>
      <c r="F46" s="15">
        <f>IFERROR(__xludf.DUMMYFUNCTION("""COMPUTED_VALUE"""),0.0)</f>
        <v>0</v>
      </c>
      <c r="G46" s="15">
        <f>IFERROR(__xludf.DUMMYFUNCTION("""COMPUTED_VALUE"""),4204.85)</f>
        <v>4204.85</v>
      </c>
      <c r="H46" s="15">
        <f>IFERROR(__xludf.DUMMYFUNCTION("""COMPUTED_VALUE"""),0.0)</f>
        <v>0</v>
      </c>
      <c r="I46" s="15">
        <f>IFERROR(__xludf.DUMMYFUNCTION("""COMPUTED_VALUE"""),420.48500000000007)</f>
        <v>420.485</v>
      </c>
      <c r="J46" s="15">
        <f>IFERROR(__xludf.DUMMYFUNCTION("""COMPUTED_VALUE"""),0.0)</f>
        <v>0</v>
      </c>
      <c r="K46" s="15">
        <f>IFERROR(__xludf.DUMMYFUNCTION("""COMPUTED_VALUE"""),0.0)</f>
        <v>0</v>
      </c>
      <c r="L46" s="14" t="b">
        <v>0</v>
      </c>
    </row>
    <row r="47">
      <c r="A47" s="14">
        <f>IFERROR(__xludf.DUMMYFUNCTION("""COMPUTED_VALUE"""),2.0265095E7)</f>
        <v>20265095</v>
      </c>
      <c r="B47" s="14" t="str">
        <f>IFERROR(__xludf.DUMMYFUNCTION("""COMPUTED_VALUE"""),"Eric Dean")</f>
        <v>Eric Dean</v>
      </c>
      <c r="C47" s="14" t="b">
        <f>IFERROR(__xludf.DUMMYFUNCTION("""COMPUTED_VALUE"""),FALSE)</f>
        <v>0</v>
      </c>
      <c r="D47" s="21" t="str">
        <f>IFERROR(__xludf.DUMMYFUNCTION("""COMPUTED_VALUE"""),"")</f>
        <v/>
      </c>
      <c r="E47" s="15">
        <f>IFERROR(__xludf.DUMMYFUNCTION("""COMPUTED_VALUE"""),7737.05)</f>
        <v>7737.05</v>
      </c>
      <c r="F47" s="15">
        <f>IFERROR(__xludf.DUMMYFUNCTION("""COMPUTED_VALUE"""),0.0)</f>
        <v>0</v>
      </c>
      <c r="G47" s="15">
        <f>IFERROR(__xludf.DUMMYFUNCTION("""COMPUTED_VALUE"""),0.0)</f>
        <v>0</v>
      </c>
      <c r="H47" s="15">
        <f>IFERROR(__xludf.DUMMYFUNCTION("""COMPUTED_VALUE"""),0.0)</f>
        <v>0</v>
      </c>
      <c r="I47" s="15">
        <f>IFERROR(__xludf.DUMMYFUNCTION("""COMPUTED_VALUE"""),773.705)</f>
        <v>773.705</v>
      </c>
      <c r="J47" s="15">
        <f>IFERROR(__xludf.DUMMYFUNCTION("""COMPUTED_VALUE"""),0.0)</f>
        <v>0</v>
      </c>
      <c r="K47" s="15">
        <f>IFERROR(__xludf.DUMMYFUNCTION("""COMPUTED_VALUE"""),0.0)</f>
        <v>0</v>
      </c>
      <c r="L47" s="14" t="b">
        <v>0</v>
      </c>
    </row>
    <row r="48">
      <c r="A48" s="24">
        <f>IFERROR(__xludf.DUMMYFUNCTION("""COMPUTED_VALUE"""),2.0265099E7)</f>
        <v>20265099</v>
      </c>
      <c r="B48" s="24" t="str">
        <f>IFERROR(__xludf.DUMMYFUNCTION("""COMPUTED_VALUE"""),"Braden Clark")</f>
        <v>Braden Clark</v>
      </c>
      <c r="C48" s="24" t="b">
        <f>IFERROR(__xludf.DUMMYFUNCTION("""COMPUTED_VALUE"""),TRUE)</f>
        <v>1</v>
      </c>
      <c r="D48" s="25">
        <f>IFERROR(__xludf.DUMMYFUNCTION("""COMPUTED_VALUE"""),0.9796713476822912)</f>
        <v>0.9796713477</v>
      </c>
      <c r="E48" s="26">
        <f>IFERROR(__xludf.DUMMYFUNCTION("""COMPUTED_VALUE"""),577.51)</f>
        <v>577.51</v>
      </c>
      <c r="F48" s="26">
        <f>IFERROR(__xludf.DUMMYFUNCTION("""COMPUTED_VALUE"""),0.0)</f>
        <v>0</v>
      </c>
      <c r="G48" s="26">
        <f>IFERROR(__xludf.DUMMYFUNCTION("""COMPUTED_VALUE"""),577.51)</f>
        <v>577.51</v>
      </c>
      <c r="H48" s="26">
        <f>IFERROR(__xludf.DUMMYFUNCTION("""COMPUTED_VALUE"""),577.51)</f>
        <v>577.51</v>
      </c>
      <c r="I48" s="26">
        <f>IFERROR(__xludf.DUMMYFUNCTION("""COMPUTED_VALUE"""),57.751000000000005)</f>
        <v>57.751</v>
      </c>
      <c r="J48" s="26">
        <f>IFERROR(__xludf.DUMMYFUNCTION("""COMPUTED_VALUE"""),0.0)</f>
        <v>0</v>
      </c>
      <c r="K48" s="26">
        <f>IFERROR(__xludf.DUMMYFUNCTION("""COMPUTED_VALUE"""),57.75)</f>
        <v>57.75</v>
      </c>
      <c r="L48" s="24" t="b">
        <v>0</v>
      </c>
    </row>
    <row r="49">
      <c r="A49" s="14">
        <f>IFERROR(__xludf.DUMMYFUNCTION("""COMPUTED_VALUE"""),2.0265101E7)</f>
        <v>20265101</v>
      </c>
      <c r="B49" s="14" t="str">
        <f>IFERROR(__xludf.DUMMYFUNCTION("""COMPUTED_VALUE"""),"Patricia Kesling")</f>
        <v>Patricia Kesling</v>
      </c>
      <c r="C49" s="14" t="b">
        <f>IFERROR(__xludf.DUMMYFUNCTION("""COMPUTED_VALUE"""),FALSE)</f>
        <v>0</v>
      </c>
      <c r="D49" s="21" t="str">
        <f>IFERROR(__xludf.DUMMYFUNCTION("""COMPUTED_VALUE"""),"")</f>
        <v/>
      </c>
      <c r="E49" s="15">
        <f>IFERROR(__xludf.DUMMYFUNCTION("""COMPUTED_VALUE"""),0.0)</f>
        <v>0</v>
      </c>
      <c r="F49" s="15">
        <f>IFERROR(__xludf.DUMMYFUNCTION("""COMPUTED_VALUE"""),0.0)</f>
        <v>0</v>
      </c>
      <c r="G49" s="15">
        <f>IFERROR(__xludf.DUMMYFUNCTION("""COMPUTED_VALUE"""),0.0)</f>
        <v>0</v>
      </c>
      <c r="H49" s="15">
        <f>IFERROR(__xludf.DUMMYFUNCTION("""COMPUTED_VALUE"""),0.0)</f>
        <v>0</v>
      </c>
      <c r="I49" s="15">
        <f>IFERROR(__xludf.DUMMYFUNCTION("""COMPUTED_VALUE"""),0.0)</f>
        <v>0</v>
      </c>
      <c r="J49" s="15">
        <f>IFERROR(__xludf.DUMMYFUNCTION("""COMPUTED_VALUE"""),0.0)</f>
        <v>0</v>
      </c>
      <c r="K49" s="15">
        <f>IFERROR(__xludf.DUMMYFUNCTION("""COMPUTED_VALUE"""),0.0)</f>
        <v>0</v>
      </c>
      <c r="L49" s="14" t="b">
        <v>0</v>
      </c>
    </row>
    <row r="50">
      <c r="A50" s="14">
        <f>IFERROR(__xludf.DUMMYFUNCTION("""COMPUTED_VALUE"""),2.0265102E7)</f>
        <v>20265102</v>
      </c>
      <c r="B50" s="14" t="str">
        <f>IFERROR(__xludf.DUMMYFUNCTION("""COMPUTED_VALUE"""),"INS - Dave Haller")</f>
        <v>INS - Dave Haller</v>
      </c>
      <c r="C50" s="14" t="b">
        <f>IFERROR(__xludf.DUMMYFUNCTION("""COMPUTED_VALUE"""),FALSE)</f>
        <v>0</v>
      </c>
      <c r="D50" s="21" t="str">
        <f>IFERROR(__xludf.DUMMYFUNCTION("""COMPUTED_VALUE"""),"")</f>
        <v/>
      </c>
      <c r="E50" s="15">
        <f>IFERROR(__xludf.DUMMYFUNCTION("""COMPUTED_VALUE"""),0.0)</f>
        <v>0</v>
      </c>
      <c r="F50" s="15">
        <f>IFERROR(__xludf.DUMMYFUNCTION("""COMPUTED_VALUE"""),0.0)</f>
        <v>0</v>
      </c>
      <c r="G50" s="15">
        <f>IFERROR(__xludf.DUMMYFUNCTION("""COMPUTED_VALUE"""),0.0)</f>
        <v>0</v>
      </c>
      <c r="H50" s="15">
        <f>IFERROR(__xludf.DUMMYFUNCTION("""COMPUTED_VALUE"""),0.0)</f>
        <v>0</v>
      </c>
      <c r="I50" s="15">
        <f>IFERROR(__xludf.DUMMYFUNCTION("""COMPUTED_VALUE"""),0.0)</f>
        <v>0</v>
      </c>
      <c r="J50" s="15">
        <f>IFERROR(__xludf.DUMMYFUNCTION("""COMPUTED_VALUE"""),0.0)</f>
        <v>0</v>
      </c>
      <c r="K50" s="15">
        <f>IFERROR(__xludf.DUMMYFUNCTION("""COMPUTED_VALUE"""),0.0)</f>
        <v>0</v>
      </c>
      <c r="L50" s="14" t="b">
        <v>0</v>
      </c>
    </row>
    <row r="51">
      <c r="A51" s="14">
        <f>IFERROR(__xludf.DUMMYFUNCTION("""COMPUTED_VALUE"""),2.0265104E7)</f>
        <v>20265104</v>
      </c>
      <c r="B51" s="14" t="str">
        <f>IFERROR(__xludf.DUMMYFUNCTION("""COMPUTED_VALUE"""),"INS - Jim Steinman")</f>
        <v>INS - Jim Steinman</v>
      </c>
      <c r="C51" s="14" t="b">
        <f>IFERROR(__xludf.DUMMYFUNCTION("""COMPUTED_VALUE"""),FALSE)</f>
        <v>0</v>
      </c>
      <c r="D51" s="21" t="str">
        <f>IFERROR(__xludf.DUMMYFUNCTION("""COMPUTED_VALUE"""),"")</f>
        <v/>
      </c>
      <c r="E51" s="15">
        <f>IFERROR(__xludf.DUMMYFUNCTION("""COMPUTED_VALUE"""),0.0)</f>
        <v>0</v>
      </c>
      <c r="F51" s="15">
        <f>IFERROR(__xludf.DUMMYFUNCTION("""COMPUTED_VALUE"""),0.0)</f>
        <v>0</v>
      </c>
      <c r="G51" s="15">
        <f>IFERROR(__xludf.DUMMYFUNCTION("""COMPUTED_VALUE"""),0.0)</f>
        <v>0</v>
      </c>
      <c r="H51" s="15">
        <f>IFERROR(__xludf.DUMMYFUNCTION("""COMPUTED_VALUE"""),0.0)</f>
        <v>0</v>
      </c>
      <c r="I51" s="15">
        <f>IFERROR(__xludf.DUMMYFUNCTION("""COMPUTED_VALUE"""),0.0)</f>
        <v>0</v>
      </c>
      <c r="J51" s="15">
        <f>IFERROR(__xludf.DUMMYFUNCTION("""COMPUTED_VALUE"""),0.0)</f>
        <v>0</v>
      </c>
      <c r="K51" s="15">
        <f>IFERROR(__xludf.DUMMYFUNCTION("""COMPUTED_VALUE"""),0.0)</f>
        <v>0</v>
      </c>
      <c r="L51" s="14" t="b">
        <v>0</v>
      </c>
    </row>
    <row r="52">
      <c r="A52" s="14">
        <f>IFERROR(__xludf.DUMMYFUNCTION("""COMPUTED_VALUE"""),2.0265105E7)</f>
        <v>20265105</v>
      </c>
      <c r="B52" s="14" t="str">
        <f>IFERROR(__xludf.DUMMYFUNCTION("""COMPUTED_VALUE"""),"Jeff Schroeder")</f>
        <v>Jeff Schroeder</v>
      </c>
      <c r="C52" s="14" t="b">
        <f>IFERROR(__xludf.DUMMYFUNCTION("""COMPUTED_VALUE"""),FALSE)</f>
        <v>0</v>
      </c>
      <c r="D52" s="21" t="str">
        <f>IFERROR(__xludf.DUMMYFUNCTION("""COMPUTED_VALUE"""),"")</f>
        <v/>
      </c>
      <c r="E52" s="15">
        <f>IFERROR(__xludf.DUMMYFUNCTION("""COMPUTED_VALUE"""),689.38)</f>
        <v>689.38</v>
      </c>
      <c r="F52" s="15">
        <f>IFERROR(__xludf.DUMMYFUNCTION("""COMPUTED_VALUE"""),0.0)</f>
        <v>0</v>
      </c>
      <c r="G52" s="15">
        <f>IFERROR(__xludf.DUMMYFUNCTION("""COMPUTED_VALUE"""),0.0)</f>
        <v>0</v>
      </c>
      <c r="H52" s="15">
        <f>IFERROR(__xludf.DUMMYFUNCTION("""COMPUTED_VALUE"""),0.0)</f>
        <v>0</v>
      </c>
      <c r="I52" s="15">
        <f>IFERROR(__xludf.DUMMYFUNCTION("""COMPUTED_VALUE"""),68.938)</f>
        <v>68.938</v>
      </c>
      <c r="J52" s="15">
        <f>IFERROR(__xludf.DUMMYFUNCTION("""COMPUTED_VALUE"""),0.0)</f>
        <v>0</v>
      </c>
      <c r="K52" s="15">
        <f>IFERROR(__xludf.DUMMYFUNCTION("""COMPUTED_VALUE"""),0.0)</f>
        <v>0</v>
      </c>
      <c r="L52" s="14" t="b">
        <v>0</v>
      </c>
    </row>
    <row r="53">
      <c r="A53" s="14">
        <f>IFERROR(__xludf.DUMMYFUNCTION("""COMPUTED_VALUE"""),2.0265107E7)</f>
        <v>20265107</v>
      </c>
      <c r="B53" s="14" t="str">
        <f>IFERROR(__xludf.DUMMYFUNCTION("""COMPUTED_VALUE"""),"Keith  Basil")</f>
        <v>Keith  Basil</v>
      </c>
      <c r="C53" s="14" t="b">
        <f>IFERROR(__xludf.DUMMYFUNCTION("""COMPUTED_VALUE"""),FALSE)</f>
        <v>0</v>
      </c>
      <c r="D53" s="21" t="str">
        <f>IFERROR(__xludf.DUMMYFUNCTION("""COMPUTED_VALUE"""),"")</f>
        <v/>
      </c>
      <c r="E53" s="15">
        <f>IFERROR(__xludf.DUMMYFUNCTION("""COMPUTED_VALUE"""),0.0)</f>
        <v>0</v>
      </c>
      <c r="F53" s="15">
        <f>IFERROR(__xludf.DUMMYFUNCTION("""COMPUTED_VALUE"""),0.0)</f>
        <v>0</v>
      </c>
      <c r="G53" s="15">
        <f>IFERROR(__xludf.DUMMYFUNCTION("""COMPUTED_VALUE"""),0.0)</f>
        <v>0</v>
      </c>
      <c r="H53" s="15">
        <f>IFERROR(__xludf.DUMMYFUNCTION("""COMPUTED_VALUE"""),0.0)</f>
        <v>0</v>
      </c>
      <c r="I53" s="15">
        <f>IFERROR(__xludf.DUMMYFUNCTION("""COMPUTED_VALUE"""),0.0)</f>
        <v>0</v>
      </c>
      <c r="J53" s="15">
        <f>IFERROR(__xludf.DUMMYFUNCTION("""COMPUTED_VALUE"""),0.0)</f>
        <v>0</v>
      </c>
      <c r="K53" s="15">
        <f>IFERROR(__xludf.DUMMYFUNCTION("""COMPUTED_VALUE"""),0.0)</f>
        <v>0</v>
      </c>
      <c r="L53" s="14" t="b">
        <v>0</v>
      </c>
    </row>
    <row r="54">
      <c r="A54" s="14">
        <f>IFERROR(__xludf.DUMMYFUNCTION("""COMPUTED_VALUE"""),2.026511E7)</f>
        <v>20265110</v>
      </c>
      <c r="B54" s="14" t="str">
        <f>IFERROR(__xludf.DUMMYFUNCTION("""COMPUTED_VALUE"""),"INS - Lynn Bower")</f>
        <v>INS - Lynn Bower</v>
      </c>
      <c r="C54" s="14" t="b">
        <f>IFERROR(__xludf.DUMMYFUNCTION("""COMPUTED_VALUE"""),FALSE)</f>
        <v>0</v>
      </c>
      <c r="D54" s="21" t="str">
        <f>IFERROR(__xludf.DUMMYFUNCTION("""COMPUTED_VALUE"""),"")</f>
        <v/>
      </c>
      <c r="E54" s="15">
        <f>IFERROR(__xludf.DUMMYFUNCTION("""COMPUTED_VALUE"""),812.19)</f>
        <v>812.19</v>
      </c>
      <c r="F54" s="15">
        <f>IFERROR(__xludf.DUMMYFUNCTION("""COMPUTED_VALUE"""),0.0)</f>
        <v>0</v>
      </c>
      <c r="G54" s="15">
        <f>IFERROR(__xludf.DUMMYFUNCTION("""COMPUTED_VALUE"""),0.0)</f>
        <v>0</v>
      </c>
      <c r="H54" s="15">
        <f>IFERROR(__xludf.DUMMYFUNCTION("""COMPUTED_VALUE"""),0.0)</f>
        <v>0</v>
      </c>
      <c r="I54" s="15">
        <f>IFERROR(__xludf.DUMMYFUNCTION("""COMPUTED_VALUE"""),81.21900000000001)</f>
        <v>81.219</v>
      </c>
      <c r="J54" s="15">
        <f>IFERROR(__xludf.DUMMYFUNCTION("""COMPUTED_VALUE"""),0.0)</f>
        <v>0</v>
      </c>
      <c r="K54" s="15">
        <f>IFERROR(__xludf.DUMMYFUNCTION("""COMPUTED_VALUE"""),0.0)</f>
        <v>0</v>
      </c>
      <c r="L54" s="14" t="b">
        <v>0</v>
      </c>
    </row>
    <row r="55">
      <c r="A55" s="14">
        <f>IFERROR(__xludf.DUMMYFUNCTION("""COMPUTED_VALUE"""),2.0265111E7)</f>
        <v>20265111</v>
      </c>
      <c r="B55" s="14" t="str">
        <f>IFERROR(__xludf.DUMMYFUNCTION("""COMPUTED_VALUE"""),"INS - Heather Davey")</f>
        <v>INS - Heather Davey</v>
      </c>
      <c r="C55" s="14" t="b">
        <f>IFERROR(__xludf.DUMMYFUNCTION("""COMPUTED_VALUE"""),FALSE)</f>
        <v>0</v>
      </c>
      <c r="D55" s="21" t="str">
        <f>IFERROR(__xludf.DUMMYFUNCTION("""COMPUTED_VALUE"""),"")</f>
        <v/>
      </c>
      <c r="E55" s="15">
        <f>IFERROR(__xludf.DUMMYFUNCTION("""COMPUTED_VALUE"""),8372.33)</f>
        <v>8372.33</v>
      </c>
      <c r="F55" s="15">
        <f>IFERROR(__xludf.DUMMYFUNCTION("""COMPUTED_VALUE"""),0.0)</f>
        <v>0</v>
      </c>
      <c r="G55" s="15">
        <f>IFERROR(__xludf.DUMMYFUNCTION("""COMPUTED_VALUE"""),0.0)</f>
        <v>0</v>
      </c>
      <c r="H55" s="15">
        <f>IFERROR(__xludf.DUMMYFUNCTION("""COMPUTED_VALUE"""),0.0)</f>
        <v>0</v>
      </c>
      <c r="I55" s="15">
        <f>IFERROR(__xludf.DUMMYFUNCTION("""COMPUTED_VALUE"""),837.2330000000001)</f>
        <v>837.233</v>
      </c>
      <c r="J55" s="15">
        <f>IFERROR(__xludf.DUMMYFUNCTION("""COMPUTED_VALUE"""),0.0)</f>
        <v>0</v>
      </c>
      <c r="K55" s="15">
        <f>IFERROR(__xludf.DUMMYFUNCTION("""COMPUTED_VALUE"""),0.0)</f>
        <v>0</v>
      </c>
      <c r="L55" s="14" t="b">
        <v>0</v>
      </c>
    </row>
    <row r="56">
      <c r="A56" s="14">
        <f>IFERROR(__xludf.DUMMYFUNCTION("""COMPUTED_VALUE"""),2.0265114E7)</f>
        <v>20265114</v>
      </c>
      <c r="B56" s="14" t="str">
        <f>IFERROR(__xludf.DUMMYFUNCTION("""COMPUTED_VALUE"""),"Patrick Mccoy")</f>
        <v>Patrick Mccoy</v>
      </c>
      <c r="C56" s="14" t="b">
        <f>IFERROR(__xludf.DUMMYFUNCTION("""COMPUTED_VALUE"""),FALSE)</f>
        <v>0</v>
      </c>
      <c r="D56" s="21" t="str">
        <f>IFERROR(__xludf.DUMMYFUNCTION("""COMPUTED_VALUE"""),"")</f>
        <v/>
      </c>
      <c r="E56" s="15">
        <f>IFERROR(__xludf.DUMMYFUNCTION("""COMPUTED_VALUE"""),9856.44)</f>
        <v>9856.44</v>
      </c>
      <c r="F56" s="15">
        <f>IFERROR(__xludf.DUMMYFUNCTION("""COMPUTED_VALUE"""),0.0)</f>
        <v>0</v>
      </c>
      <c r="G56" s="15">
        <f>IFERROR(__xludf.DUMMYFUNCTION("""COMPUTED_VALUE"""),0.0)</f>
        <v>0</v>
      </c>
      <c r="H56" s="15">
        <f>IFERROR(__xludf.DUMMYFUNCTION("""COMPUTED_VALUE"""),0.0)</f>
        <v>0</v>
      </c>
      <c r="I56" s="15">
        <f>IFERROR(__xludf.DUMMYFUNCTION("""COMPUTED_VALUE"""),985.6440000000001)</f>
        <v>985.644</v>
      </c>
      <c r="J56" s="15">
        <f>IFERROR(__xludf.DUMMYFUNCTION("""COMPUTED_VALUE"""),0.0)</f>
        <v>0</v>
      </c>
      <c r="K56" s="15">
        <f>IFERROR(__xludf.DUMMYFUNCTION("""COMPUTED_VALUE"""),0.0)</f>
        <v>0</v>
      </c>
      <c r="L56" s="14" t="b">
        <v>0</v>
      </c>
    </row>
    <row r="57">
      <c r="A57" s="14">
        <f>IFERROR(__xludf.DUMMYFUNCTION("""COMPUTED_VALUE"""),2.0265119E7)</f>
        <v>20265119</v>
      </c>
      <c r="B57" s="14" t="str">
        <f>IFERROR(__xludf.DUMMYFUNCTION("""COMPUTED_VALUE"""),"Jared Huelsman")</f>
        <v>Jared Huelsman</v>
      </c>
      <c r="C57" s="14" t="b">
        <f>IFERROR(__xludf.DUMMYFUNCTION("""COMPUTED_VALUE"""),FALSE)</f>
        <v>0</v>
      </c>
      <c r="D57" s="21" t="str">
        <f>IFERROR(__xludf.DUMMYFUNCTION("""COMPUTED_VALUE"""),"")</f>
        <v/>
      </c>
      <c r="E57" s="15">
        <f>IFERROR(__xludf.DUMMYFUNCTION("""COMPUTED_VALUE"""),8680.8)</f>
        <v>8680.8</v>
      </c>
      <c r="F57" s="15">
        <f>IFERROR(__xludf.DUMMYFUNCTION("""COMPUTED_VALUE"""),0.0)</f>
        <v>0</v>
      </c>
      <c r="G57" s="15">
        <f>IFERROR(__xludf.DUMMYFUNCTION("""COMPUTED_VALUE"""),0.0)</f>
        <v>0</v>
      </c>
      <c r="H57" s="15">
        <f>IFERROR(__xludf.DUMMYFUNCTION("""COMPUTED_VALUE"""),0.0)</f>
        <v>0</v>
      </c>
      <c r="I57" s="15">
        <f>IFERROR(__xludf.DUMMYFUNCTION("""COMPUTED_VALUE"""),868.0799999999999)</f>
        <v>868.08</v>
      </c>
      <c r="J57" s="15">
        <f>IFERROR(__xludf.DUMMYFUNCTION("""COMPUTED_VALUE"""),0.0)</f>
        <v>0</v>
      </c>
      <c r="K57" s="15">
        <f>IFERROR(__xludf.DUMMYFUNCTION("""COMPUTED_VALUE"""),0.0)</f>
        <v>0</v>
      </c>
      <c r="L57" s="14" t="b">
        <v>0</v>
      </c>
    </row>
    <row r="58">
      <c r="A58" s="14">
        <f>IFERROR(__xludf.DUMMYFUNCTION("""COMPUTED_VALUE"""),2.0265125E7)</f>
        <v>20265125</v>
      </c>
      <c r="B58" s="14" t="str">
        <f>IFERROR(__xludf.DUMMYFUNCTION("""COMPUTED_VALUE"""),"Melinda Rathbun")</f>
        <v>Melinda Rathbun</v>
      </c>
      <c r="C58" s="14" t="b">
        <f>IFERROR(__xludf.DUMMYFUNCTION("""COMPUTED_VALUE"""),FALSE)</f>
        <v>0</v>
      </c>
      <c r="D58" s="21" t="str">
        <f>IFERROR(__xludf.DUMMYFUNCTION("""COMPUTED_VALUE"""),"")</f>
        <v/>
      </c>
      <c r="E58" s="15">
        <f>IFERROR(__xludf.DUMMYFUNCTION("""COMPUTED_VALUE"""),2261.66)</f>
        <v>2261.66</v>
      </c>
      <c r="F58" s="15">
        <f>IFERROR(__xludf.DUMMYFUNCTION("""COMPUTED_VALUE"""),0.0)</f>
        <v>0</v>
      </c>
      <c r="G58" s="15">
        <f>IFERROR(__xludf.DUMMYFUNCTION("""COMPUTED_VALUE"""),0.0)</f>
        <v>0</v>
      </c>
      <c r="H58" s="15">
        <f>IFERROR(__xludf.DUMMYFUNCTION("""COMPUTED_VALUE"""),0.0)</f>
        <v>0</v>
      </c>
      <c r="I58" s="15">
        <f>IFERROR(__xludf.DUMMYFUNCTION("""COMPUTED_VALUE"""),226.166)</f>
        <v>226.166</v>
      </c>
      <c r="J58" s="15">
        <f>IFERROR(__xludf.DUMMYFUNCTION("""COMPUTED_VALUE"""),0.0)</f>
        <v>0</v>
      </c>
      <c r="K58" s="15">
        <f>IFERROR(__xludf.DUMMYFUNCTION("""COMPUTED_VALUE"""),0.0)</f>
        <v>0</v>
      </c>
      <c r="L58" s="14" t="b">
        <v>0</v>
      </c>
    </row>
    <row r="59">
      <c r="A59" s="14">
        <f>IFERROR(__xludf.DUMMYFUNCTION("""COMPUTED_VALUE"""),2.0265126E7)</f>
        <v>20265126</v>
      </c>
      <c r="B59" s="14" t="str">
        <f>IFERROR(__xludf.DUMMYFUNCTION("""COMPUTED_VALUE"""),"Van Lake Condos")</f>
        <v>Van Lake Condos</v>
      </c>
      <c r="C59" s="14" t="b">
        <f>IFERROR(__xludf.DUMMYFUNCTION("""COMPUTED_VALUE"""),FALSE)</f>
        <v>0</v>
      </c>
      <c r="D59" s="21" t="str">
        <f>IFERROR(__xludf.DUMMYFUNCTION("""COMPUTED_VALUE"""),"")</f>
        <v/>
      </c>
      <c r="E59" s="15">
        <f>IFERROR(__xludf.DUMMYFUNCTION("""COMPUTED_VALUE"""),23916.98)</f>
        <v>23916.98</v>
      </c>
      <c r="F59" s="15">
        <f>IFERROR(__xludf.DUMMYFUNCTION("""COMPUTED_VALUE"""),0.0)</f>
        <v>0</v>
      </c>
      <c r="G59" s="15">
        <f>IFERROR(__xludf.DUMMYFUNCTION("""COMPUTED_VALUE"""),0.0)</f>
        <v>0</v>
      </c>
      <c r="H59" s="15">
        <f>IFERROR(__xludf.DUMMYFUNCTION("""COMPUTED_VALUE"""),0.0)</f>
        <v>0</v>
      </c>
      <c r="I59" s="15">
        <f>IFERROR(__xludf.DUMMYFUNCTION("""COMPUTED_VALUE"""),2391.698)</f>
        <v>2391.698</v>
      </c>
      <c r="J59" s="15">
        <f>IFERROR(__xludf.DUMMYFUNCTION("""COMPUTED_VALUE"""),0.0)</f>
        <v>0</v>
      </c>
      <c r="K59" s="15">
        <f>IFERROR(__xludf.DUMMYFUNCTION("""COMPUTED_VALUE"""),0.0)</f>
        <v>0</v>
      </c>
      <c r="L59" s="14" t="b">
        <v>0</v>
      </c>
    </row>
    <row r="60">
      <c r="A60" s="14" t="str">
        <f>IFERROR(__xludf.DUMMYFUNCTION("""COMPUTED_VALUE"""),"Grand Total")</f>
        <v>Grand Total</v>
      </c>
      <c r="B60" s="14"/>
      <c r="C60" s="14"/>
      <c r="D60" s="14"/>
      <c r="E60" s="15">
        <f>IFERROR(__xludf.DUMMYFUNCTION("""COMPUTED_VALUE"""),366237.2899999999)</f>
        <v>366237.29</v>
      </c>
      <c r="F60" s="15">
        <f>IFERROR(__xludf.DUMMYFUNCTION("""COMPUTED_VALUE"""),284.03999999999724)</f>
        <v>284.04</v>
      </c>
      <c r="G60" s="15">
        <f>IFERROR(__xludf.DUMMYFUNCTION("""COMPUTED_VALUE"""),136034.27000000002)</f>
        <v>136034.27</v>
      </c>
      <c r="H60" s="15">
        <f>IFERROR(__xludf.DUMMYFUNCTION("""COMPUTED_VALUE"""),114320.15999999999)</f>
        <v>114320.16</v>
      </c>
      <c r="I60" s="15">
        <f>IFERROR(__xludf.DUMMYFUNCTION("""COMPUTED_VALUE"""),36652.132999999994)</f>
        <v>36652.133</v>
      </c>
      <c r="J60" s="15">
        <f>IFERROR(__xludf.DUMMYFUNCTION("""COMPUTED_VALUE"""),0.0)</f>
        <v>0</v>
      </c>
      <c r="K60" s="15">
        <f>IFERROR(__xludf.DUMMYFUNCTION("""COMPUTED_VALUE"""),0.0)</f>
        <v>0</v>
      </c>
      <c r="L60" s="14" t="b"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5">
        <f>IFERROR(__xludf.DUMMYFUNCTION("""COMPUTED_VALUE"""),0.0)</f>
        <v>0</v>
      </c>
      <c r="K61" s="15">
        <f>IFERROR(__xludf.DUMMYFUNCTION("""COMPUTED_VALUE"""),0.0)</f>
        <v>0</v>
      </c>
      <c r="L61" s="14" t="b"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5">
        <f>IFERROR(__xludf.DUMMYFUNCTION("""COMPUTED_VALUE"""),0.0)</f>
        <v>0</v>
      </c>
      <c r="K62" s="15">
        <f>IFERROR(__xludf.DUMMYFUNCTION("""COMPUTED_VALUE"""),0.0)</f>
        <v>0</v>
      </c>
      <c r="L62" s="14" t="b"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5">
        <f>IFERROR(__xludf.DUMMYFUNCTION("""COMPUTED_VALUE"""),0.0)</f>
        <v>0</v>
      </c>
      <c r="K63" s="15">
        <f>IFERROR(__xludf.DUMMYFUNCTION("""COMPUTED_VALUE"""),0.0)</f>
        <v>0</v>
      </c>
      <c r="L63" s="14" t="b"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5">
        <f>IFERROR(__xludf.DUMMYFUNCTION("""COMPUTED_VALUE"""),0.0)</f>
        <v>0</v>
      </c>
      <c r="K64" s="15">
        <f>IFERROR(__xludf.DUMMYFUNCTION("""COMPUTED_VALUE"""),0.0)</f>
        <v>0</v>
      </c>
      <c r="L64" s="14" t="b"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5">
        <f>IFERROR(__xludf.DUMMYFUNCTION("""COMPUTED_VALUE"""),0.0)</f>
        <v>0</v>
      </c>
      <c r="K65" s="15">
        <f>IFERROR(__xludf.DUMMYFUNCTION("""COMPUTED_VALUE"""),0.0)</f>
        <v>0</v>
      </c>
      <c r="L65" s="14" t="b"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5">
        <f>IFERROR(__xludf.DUMMYFUNCTION("""COMPUTED_VALUE"""),0.0)</f>
        <v>0</v>
      </c>
      <c r="K66" s="15">
        <f>IFERROR(__xludf.DUMMYFUNCTION("""COMPUTED_VALUE"""),0.0)</f>
        <v>0</v>
      </c>
      <c r="L66" s="14" t="b"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5">
        <f>IFERROR(__xludf.DUMMYFUNCTION("""COMPUTED_VALUE"""),0.0)</f>
        <v>0</v>
      </c>
      <c r="K67" s="15">
        <f>IFERROR(__xludf.DUMMYFUNCTION("""COMPUTED_VALUE"""),0.0)</f>
        <v>0</v>
      </c>
      <c r="L67" s="14" t="b"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5">
        <f>IFERROR(__xludf.DUMMYFUNCTION("""COMPUTED_VALUE"""),0.0)</f>
        <v>0</v>
      </c>
      <c r="K68" s="15">
        <f>IFERROR(__xludf.DUMMYFUNCTION("""COMPUTED_VALUE"""),0.0)</f>
        <v>0</v>
      </c>
      <c r="L68" s="14" t="b"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5">
        <f>IFERROR(__xludf.DUMMYFUNCTION("""COMPUTED_VALUE"""),0.0)</f>
        <v>0</v>
      </c>
      <c r="K69" s="15">
        <f>IFERROR(__xludf.DUMMYFUNCTION("""COMPUTED_VALUE"""),0.0)</f>
        <v>0</v>
      </c>
      <c r="L69" s="14" t="b"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5">
        <f>IFERROR(__xludf.DUMMYFUNCTION("""COMPUTED_VALUE"""),0.0)</f>
        <v>0</v>
      </c>
      <c r="K70" s="15">
        <f>IFERROR(__xludf.DUMMYFUNCTION("""COMPUTED_VALUE"""),0.0)</f>
        <v>0</v>
      </c>
      <c r="L70" s="14" t="b"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5">
        <f>IFERROR(__xludf.DUMMYFUNCTION("""COMPUTED_VALUE"""),0.0)</f>
        <v>0</v>
      </c>
      <c r="K71" s="15">
        <f>IFERROR(__xludf.DUMMYFUNCTION("""COMPUTED_VALUE"""),0.0)</f>
        <v>0</v>
      </c>
      <c r="L71" s="14" t="b"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5">
        <f>IFERROR(__xludf.DUMMYFUNCTION("""COMPUTED_VALUE"""),0.0)</f>
        <v>0</v>
      </c>
      <c r="K72" s="15">
        <f>IFERROR(__xludf.DUMMYFUNCTION("""COMPUTED_VALUE"""),0.0)</f>
        <v>0</v>
      </c>
      <c r="L72" s="14" t="b"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5">
        <f>IFERROR(__xludf.DUMMYFUNCTION("""COMPUTED_VALUE"""),0.0)</f>
        <v>0</v>
      </c>
      <c r="K73" s="15">
        <f>IFERROR(__xludf.DUMMYFUNCTION("""COMPUTED_VALUE"""),0.0)</f>
        <v>0</v>
      </c>
      <c r="L73" s="14" t="b"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5">
        <f>IFERROR(__xludf.DUMMYFUNCTION("""COMPUTED_VALUE"""),0.0)</f>
        <v>0</v>
      </c>
      <c r="K74" s="15">
        <f>IFERROR(__xludf.DUMMYFUNCTION("""COMPUTED_VALUE"""),0.0)</f>
        <v>0</v>
      </c>
      <c r="L74" s="14" t="b"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5">
        <f>IFERROR(__xludf.DUMMYFUNCTION("""COMPUTED_VALUE"""),0.0)</f>
        <v>0</v>
      </c>
      <c r="K75" s="15">
        <f>IFERROR(__xludf.DUMMYFUNCTION("""COMPUTED_VALUE"""),0.0)</f>
        <v>0</v>
      </c>
      <c r="L75" s="14" t="b"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5">
        <f>IFERROR(__xludf.DUMMYFUNCTION("""COMPUTED_VALUE"""),0.0)</f>
        <v>0</v>
      </c>
      <c r="K76" s="15">
        <f>IFERROR(__xludf.DUMMYFUNCTION("""COMPUTED_VALUE"""),0.0)</f>
        <v>0</v>
      </c>
      <c r="L76" s="14" t="b"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5">
        <f>IFERROR(__xludf.DUMMYFUNCTION("""COMPUTED_VALUE"""),0.0)</f>
        <v>0</v>
      </c>
      <c r="K77" s="15">
        <f>IFERROR(__xludf.DUMMYFUNCTION("""COMPUTED_VALUE"""),0.0)</f>
        <v>0</v>
      </c>
      <c r="L77" s="14" t="b"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5">
        <f>IFERROR(__xludf.DUMMYFUNCTION("""COMPUTED_VALUE"""),0.0)</f>
        <v>0</v>
      </c>
      <c r="K78" s="15">
        <f>IFERROR(__xludf.DUMMYFUNCTION("""COMPUTED_VALUE"""),0.0)</f>
        <v>0</v>
      </c>
      <c r="L78" s="14" t="b"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5">
        <f>IFERROR(__xludf.DUMMYFUNCTION("""COMPUTED_VALUE"""),0.0)</f>
        <v>0</v>
      </c>
      <c r="K79" s="15">
        <f>IFERROR(__xludf.DUMMYFUNCTION("""COMPUTED_VALUE"""),0.0)</f>
        <v>0</v>
      </c>
      <c r="L79" s="14" t="b"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5">
        <f>IFERROR(__xludf.DUMMYFUNCTION("""COMPUTED_VALUE"""),0.0)</f>
        <v>0</v>
      </c>
      <c r="K80" s="15">
        <f>IFERROR(__xludf.DUMMYFUNCTION("""COMPUTED_VALUE"""),0.0)</f>
        <v>0</v>
      </c>
      <c r="L80" s="14" t="b"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5">
        <f>IFERROR(__xludf.DUMMYFUNCTION("""COMPUTED_VALUE"""),0.0)</f>
        <v>0</v>
      </c>
      <c r="K81" s="15">
        <f>IFERROR(__xludf.DUMMYFUNCTION("""COMPUTED_VALUE"""),0.0)</f>
        <v>0</v>
      </c>
      <c r="L81" s="14" t="b"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5">
        <f>IFERROR(__xludf.DUMMYFUNCTION("""COMPUTED_VALUE"""),0.0)</f>
        <v>0</v>
      </c>
      <c r="K82" s="15">
        <f>IFERROR(__xludf.DUMMYFUNCTION("""COMPUTED_VALUE"""),0.0)</f>
        <v>0</v>
      </c>
      <c r="L82" s="14" t="b"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5">
        <f>IFERROR(__xludf.DUMMYFUNCTION("""COMPUTED_VALUE"""),0.0)</f>
        <v>0</v>
      </c>
      <c r="K83" s="15">
        <f>IFERROR(__xludf.DUMMYFUNCTION("""COMPUTED_VALUE"""),0.0)</f>
        <v>0</v>
      </c>
      <c r="L83" s="14" t="b"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5">
        <f>IFERROR(__xludf.DUMMYFUNCTION("""COMPUTED_VALUE"""),0.0)</f>
        <v>0</v>
      </c>
      <c r="K84" s="15">
        <f>IFERROR(__xludf.DUMMYFUNCTION("""COMPUTED_VALUE"""),0.0)</f>
        <v>0</v>
      </c>
      <c r="L84" s="14" t="b"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5">
        <f>IFERROR(__xludf.DUMMYFUNCTION("""COMPUTED_VALUE"""),0.0)</f>
        <v>0</v>
      </c>
      <c r="K85" s="15">
        <f>IFERROR(__xludf.DUMMYFUNCTION("""COMPUTED_VALUE"""),0.0)</f>
        <v>0</v>
      </c>
      <c r="L85" s="14" t="b"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5">
        <f>IFERROR(__xludf.DUMMYFUNCTION("""COMPUTED_VALUE"""),0.0)</f>
        <v>0</v>
      </c>
      <c r="K86" s="15">
        <f>IFERROR(__xludf.DUMMYFUNCTION("""COMPUTED_VALUE"""),0.0)</f>
        <v>0</v>
      </c>
      <c r="L86" s="14" t="b"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5">
        <f>IFERROR(__xludf.DUMMYFUNCTION("""COMPUTED_VALUE"""),0.0)</f>
        <v>0</v>
      </c>
      <c r="K87" s="15">
        <f>IFERROR(__xludf.DUMMYFUNCTION("""COMPUTED_VALUE"""),0.0)</f>
        <v>0</v>
      </c>
      <c r="L87" s="14" t="b"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5">
        <f>IFERROR(__xludf.DUMMYFUNCTION("""COMPUTED_VALUE"""),0.0)</f>
        <v>0</v>
      </c>
      <c r="K88" s="15">
        <f>IFERROR(__xludf.DUMMYFUNCTION("""COMPUTED_VALUE"""),0.0)</f>
        <v>0</v>
      </c>
      <c r="L88" s="14" t="b"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5">
        <f>IFERROR(__xludf.DUMMYFUNCTION("""COMPUTED_VALUE"""),0.0)</f>
        <v>0</v>
      </c>
      <c r="K89" s="15">
        <f>IFERROR(__xludf.DUMMYFUNCTION("""COMPUTED_VALUE"""),0.0)</f>
        <v>0</v>
      </c>
      <c r="L89" s="14" t="b"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5">
        <f>IFERROR(__xludf.DUMMYFUNCTION("""COMPUTED_VALUE"""),0.0)</f>
        <v>0</v>
      </c>
      <c r="K90" s="15">
        <f>IFERROR(__xludf.DUMMYFUNCTION("""COMPUTED_VALUE"""),0.0)</f>
        <v>0</v>
      </c>
      <c r="L90" s="14" t="b"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5">
        <f>IFERROR(__xludf.DUMMYFUNCTION("""COMPUTED_VALUE"""),0.0)</f>
        <v>0</v>
      </c>
      <c r="K91" s="15">
        <f>IFERROR(__xludf.DUMMYFUNCTION("""COMPUTED_VALUE"""),0.0)</f>
        <v>0</v>
      </c>
      <c r="L91" s="14" t="b"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5">
        <f>IFERROR(__xludf.DUMMYFUNCTION("""COMPUTED_VALUE"""),0.0)</f>
        <v>0</v>
      </c>
      <c r="K92" s="15">
        <f>IFERROR(__xludf.DUMMYFUNCTION("""COMPUTED_VALUE"""),0.0)</f>
        <v>0</v>
      </c>
      <c r="L92" s="14" t="b"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5">
        <f>IFERROR(__xludf.DUMMYFUNCTION("""COMPUTED_VALUE"""),0.0)</f>
        <v>0</v>
      </c>
      <c r="K93" s="15">
        <f>IFERROR(__xludf.DUMMYFUNCTION("""COMPUTED_VALUE"""),0.0)</f>
        <v>0</v>
      </c>
      <c r="L93" s="14" t="b"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5">
        <f>IFERROR(__xludf.DUMMYFUNCTION("""COMPUTED_VALUE"""),0.0)</f>
        <v>0</v>
      </c>
      <c r="K94" s="15">
        <f>IFERROR(__xludf.DUMMYFUNCTION("""COMPUTED_VALUE"""),0.0)</f>
        <v>0</v>
      </c>
      <c r="L94" s="14" t="b"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5">
        <f>IFERROR(__xludf.DUMMYFUNCTION("""COMPUTED_VALUE"""),0.0)</f>
        <v>0</v>
      </c>
      <c r="K95" s="15">
        <f>IFERROR(__xludf.DUMMYFUNCTION("""COMPUTED_VALUE"""),0.0)</f>
        <v>0</v>
      </c>
      <c r="L95" s="14" t="b"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5">
        <f>IFERROR(__xludf.DUMMYFUNCTION("""COMPUTED_VALUE"""),0.0)</f>
        <v>0</v>
      </c>
      <c r="K96" s="15">
        <f>IFERROR(__xludf.DUMMYFUNCTION("""COMPUTED_VALUE"""),0.0)</f>
        <v>0</v>
      </c>
      <c r="L96" s="14" t="b"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5">
        <f>IFERROR(__xludf.DUMMYFUNCTION("""COMPUTED_VALUE"""),0.0)</f>
        <v>0</v>
      </c>
      <c r="K97" s="15">
        <f>IFERROR(__xludf.DUMMYFUNCTION("""COMPUTED_VALUE"""),0.0)</f>
        <v>0</v>
      </c>
      <c r="L97" s="14" t="b"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5">
        <f>IFERROR(__xludf.DUMMYFUNCTION("""COMPUTED_VALUE"""),0.0)</f>
        <v>0</v>
      </c>
      <c r="K98" s="15">
        <f>IFERROR(__xludf.DUMMYFUNCTION("""COMPUTED_VALUE"""),0.0)</f>
        <v>0</v>
      </c>
      <c r="L98" s="14" t="b"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5">
        <f>IFERROR(__xludf.DUMMYFUNCTION("""COMPUTED_VALUE"""),0.0)</f>
        <v>0</v>
      </c>
      <c r="K99" s="15">
        <f>IFERROR(__xludf.DUMMYFUNCTION("""COMPUTED_VALUE"""),0.0)</f>
        <v>0</v>
      </c>
      <c r="L99" s="14" t="b"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5">
        <f>IFERROR(__xludf.DUMMYFUNCTION("""COMPUTED_VALUE"""),0.0)</f>
        <v>0</v>
      </c>
      <c r="K100" s="15">
        <f>IFERROR(__xludf.DUMMYFUNCTION("""COMPUTED_VALUE"""),0.0)</f>
        <v>0</v>
      </c>
      <c r="L100" s="14" t="b"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5">
        <f>IFERROR(__xludf.DUMMYFUNCTION("""COMPUTED_VALUE"""),0.0)</f>
        <v>0</v>
      </c>
      <c r="K101" s="15">
        <f>IFERROR(__xludf.DUMMYFUNCTION("""COMPUTED_VALUE"""),0.0)</f>
        <v>0</v>
      </c>
      <c r="L101" s="14" t="b"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5">
        <f>IFERROR(__xludf.DUMMYFUNCTION("""COMPUTED_VALUE"""),0.0)</f>
        <v>0</v>
      </c>
      <c r="K102" s="15">
        <f>IFERROR(__xludf.DUMMYFUNCTION("""COMPUTED_VALUE"""),0.0)</f>
        <v>0</v>
      </c>
      <c r="L102" s="14" t="b">
        <v>0</v>
      </c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5">
        <f>IFERROR(__xludf.DUMMYFUNCTION("""COMPUTED_VALUE"""),0.0)</f>
        <v>0</v>
      </c>
      <c r="K103" s="15">
        <f>IFERROR(__xludf.DUMMYFUNCTION("""COMPUTED_VALUE"""),0.0)</f>
        <v>0</v>
      </c>
      <c r="L103" s="14" t="b">
        <v>0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5">
        <f>IFERROR(__xludf.DUMMYFUNCTION("""COMPUTED_VALUE"""),0.0)</f>
        <v>0</v>
      </c>
      <c r="K104" s="15">
        <f>IFERROR(__xludf.DUMMYFUNCTION("""COMPUTED_VALUE"""),0.0)</f>
        <v>0</v>
      </c>
      <c r="L104" s="14" t="b">
        <v>0</v>
      </c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5">
        <f>IFERROR(__xludf.DUMMYFUNCTION("""COMPUTED_VALUE"""),0.0)</f>
        <v>0</v>
      </c>
      <c r="K105" s="15">
        <f>IFERROR(__xludf.DUMMYFUNCTION("""COMPUTED_VALUE"""),0.0)</f>
        <v>0</v>
      </c>
      <c r="L105" s="14" t="b">
        <v>0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5">
        <f>IFERROR(__xludf.DUMMYFUNCTION("""COMPUTED_VALUE"""),0.0)</f>
        <v>0</v>
      </c>
      <c r="K106" s="15">
        <f>IFERROR(__xludf.DUMMYFUNCTION("""COMPUTED_VALUE"""),0.0)</f>
        <v>0</v>
      </c>
      <c r="L106" s="14" t="b">
        <v>0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5">
        <f>IFERROR(__xludf.DUMMYFUNCTION("""COMPUTED_VALUE"""),0.0)</f>
        <v>0</v>
      </c>
      <c r="K107" s="15">
        <f>IFERROR(__xludf.DUMMYFUNCTION("""COMPUTED_VALUE"""),0.0)</f>
        <v>0</v>
      </c>
      <c r="L107" s="14" t="b">
        <v>0</v>
      </c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5">
        <f>IFERROR(__xludf.DUMMYFUNCTION("""COMPUTED_VALUE"""),0.0)</f>
        <v>0</v>
      </c>
      <c r="K108" s="15">
        <f>IFERROR(__xludf.DUMMYFUNCTION("""COMPUTED_VALUE"""),0.0)</f>
        <v>0</v>
      </c>
      <c r="L108" s="14" t="b">
        <v>0</v>
      </c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5">
        <f>IFERROR(__xludf.DUMMYFUNCTION("""COMPUTED_VALUE"""),0.0)</f>
        <v>0</v>
      </c>
      <c r="K109" s="15">
        <f>IFERROR(__xludf.DUMMYFUNCTION("""COMPUTED_VALUE"""),0.0)</f>
        <v>0</v>
      </c>
      <c r="L109" s="14" t="b">
        <v>0</v>
      </c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5">
        <f>IFERROR(__xludf.DUMMYFUNCTION("""COMPUTED_VALUE"""),0.0)</f>
        <v>0</v>
      </c>
      <c r="K110" s="15">
        <f>IFERROR(__xludf.DUMMYFUNCTION("""COMPUTED_VALUE"""),0.0)</f>
        <v>0</v>
      </c>
      <c r="L110" s="14" t="b">
        <v>0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5">
        <f>IFERROR(__xludf.DUMMYFUNCTION("""COMPUTED_VALUE"""),0.0)</f>
        <v>0</v>
      </c>
      <c r="K111" s="15">
        <f>IFERROR(__xludf.DUMMYFUNCTION("""COMPUTED_VALUE"""),0.0)</f>
        <v>0</v>
      </c>
      <c r="L111" s="14" t="b">
        <v>0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5">
        <f>IFERROR(__xludf.DUMMYFUNCTION("""COMPUTED_VALUE"""),0.0)</f>
        <v>0</v>
      </c>
      <c r="K112" s="15">
        <f>IFERROR(__xludf.DUMMYFUNCTION("""COMPUTED_VALUE"""),0.0)</f>
        <v>0</v>
      </c>
      <c r="L112" s="14" t="b">
        <v>0</v>
      </c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5">
        <f>IFERROR(__xludf.DUMMYFUNCTION("""COMPUTED_VALUE"""),0.0)</f>
        <v>0</v>
      </c>
      <c r="K113" s="15">
        <f>IFERROR(__xludf.DUMMYFUNCTION("""COMPUTED_VALUE"""),0.0)</f>
        <v>0</v>
      </c>
      <c r="L113" s="14" t="b">
        <v>0</v>
      </c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5">
        <f>IFERROR(__xludf.DUMMYFUNCTION("""COMPUTED_VALUE"""),0.0)</f>
        <v>0</v>
      </c>
      <c r="K114" s="15">
        <f>IFERROR(__xludf.DUMMYFUNCTION("""COMPUTED_VALUE"""),0.0)</f>
        <v>0</v>
      </c>
      <c r="L114" s="14" t="b">
        <v>0</v>
      </c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5">
        <f>IFERROR(__xludf.DUMMYFUNCTION("""COMPUTED_VALUE"""),0.0)</f>
        <v>0</v>
      </c>
      <c r="K115" s="15">
        <f>IFERROR(__xludf.DUMMYFUNCTION("""COMPUTED_VALUE"""),0.0)</f>
        <v>0</v>
      </c>
      <c r="L115" s="14" t="b">
        <v>0</v>
      </c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5">
        <f>IFERROR(__xludf.DUMMYFUNCTION("""COMPUTED_VALUE"""),0.0)</f>
        <v>0</v>
      </c>
      <c r="K116" s="15">
        <f>IFERROR(__xludf.DUMMYFUNCTION("""COMPUTED_VALUE"""),0.0)</f>
        <v>0</v>
      </c>
      <c r="L116" s="14" t="b">
        <v>0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5">
        <f>IFERROR(__xludf.DUMMYFUNCTION("""COMPUTED_VALUE"""),0.0)</f>
        <v>0</v>
      </c>
      <c r="K117" s="15">
        <f>IFERROR(__xludf.DUMMYFUNCTION("""COMPUTED_VALUE"""),0.0)</f>
        <v>0</v>
      </c>
      <c r="L117" s="14" t="b">
        <v>0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5">
        <f>IFERROR(__xludf.DUMMYFUNCTION("""COMPUTED_VALUE"""),0.0)</f>
        <v>0</v>
      </c>
      <c r="K118" s="15">
        <f>IFERROR(__xludf.DUMMYFUNCTION("""COMPUTED_VALUE"""),0.0)</f>
        <v>0</v>
      </c>
      <c r="L118" s="14" t="b">
        <v>0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5">
        <f>IFERROR(__xludf.DUMMYFUNCTION("""COMPUTED_VALUE"""),0.0)</f>
        <v>0</v>
      </c>
      <c r="K119" s="15">
        <f>IFERROR(__xludf.DUMMYFUNCTION("""COMPUTED_VALUE"""),0.0)</f>
        <v>0</v>
      </c>
      <c r="L119" s="14" t="b">
        <v>0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5">
        <f>IFERROR(__xludf.DUMMYFUNCTION("""COMPUTED_VALUE"""),0.0)</f>
        <v>0</v>
      </c>
      <c r="K120" s="15">
        <f>IFERROR(__xludf.DUMMYFUNCTION("""COMPUTED_VALUE"""),0.0)</f>
        <v>0</v>
      </c>
      <c r="L120" s="14" t="b">
        <v>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5">
        <f>IFERROR(__xludf.DUMMYFUNCTION("""COMPUTED_VALUE"""),0.0)</f>
        <v>0</v>
      </c>
      <c r="K121" s="15">
        <f>IFERROR(__xludf.DUMMYFUNCTION("""COMPUTED_VALUE"""),0.0)</f>
        <v>0</v>
      </c>
      <c r="L121" s="14" t="b">
        <v>0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5">
        <f>IFERROR(__xludf.DUMMYFUNCTION("""COMPUTED_VALUE"""),0.0)</f>
        <v>0</v>
      </c>
      <c r="K122" s="15">
        <f>IFERROR(__xludf.DUMMYFUNCTION("""COMPUTED_VALUE"""),0.0)</f>
        <v>0</v>
      </c>
      <c r="L122" s="14" t="b">
        <v>0</v>
      </c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5">
        <f>IFERROR(__xludf.DUMMYFUNCTION("""COMPUTED_VALUE"""),0.0)</f>
        <v>0</v>
      </c>
      <c r="K123" s="15">
        <f>IFERROR(__xludf.DUMMYFUNCTION("""COMPUTED_VALUE"""),0.0)</f>
        <v>0</v>
      </c>
      <c r="L123" s="14" t="b">
        <v>0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5">
        <f>IFERROR(__xludf.DUMMYFUNCTION("""COMPUTED_VALUE"""),0.0)</f>
        <v>0</v>
      </c>
      <c r="K124" s="15">
        <f>IFERROR(__xludf.DUMMYFUNCTION("""COMPUTED_VALUE"""),0.0)</f>
        <v>0</v>
      </c>
      <c r="L124" s="14" t="b">
        <v>0</v>
      </c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5">
        <f>IFERROR(__xludf.DUMMYFUNCTION("""COMPUTED_VALUE"""),0.0)</f>
        <v>0</v>
      </c>
      <c r="K125" s="15">
        <f>IFERROR(__xludf.DUMMYFUNCTION("""COMPUTED_VALUE"""),0.0)</f>
        <v>0</v>
      </c>
      <c r="L125" s="14" t="b">
        <v>0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5">
        <f>IFERROR(__xludf.DUMMYFUNCTION("""COMPUTED_VALUE"""),0.0)</f>
        <v>0</v>
      </c>
      <c r="K126" s="15">
        <f>IFERROR(__xludf.DUMMYFUNCTION("""COMPUTED_VALUE"""),0.0)</f>
        <v>0</v>
      </c>
      <c r="L126" s="14" t="b">
        <v>0</v>
      </c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5">
        <f>IFERROR(__xludf.DUMMYFUNCTION("""COMPUTED_VALUE"""),0.0)</f>
        <v>0</v>
      </c>
      <c r="K127" s="15">
        <f>IFERROR(__xludf.DUMMYFUNCTION("""COMPUTED_VALUE"""),0.0)</f>
        <v>0</v>
      </c>
      <c r="L127" s="14" t="b">
        <v>0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5">
        <f>IFERROR(__xludf.DUMMYFUNCTION("""COMPUTED_VALUE"""),0.0)</f>
        <v>0</v>
      </c>
      <c r="K128" s="15">
        <f>IFERROR(__xludf.DUMMYFUNCTION("""COMPUTED_VALUE"""),0.0)</f>
        <v>0</v>
      </c>
      <c r="L128" s="14" t="b">
        <v>0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5">
        <f>IFERROR(__xludf.DUMMYFUNCTION("""COMPUTED_VALUE"""),0.0)</f>
        <v>0</v>
      </c>
      <c r="K129" s="15">
        <f>IFERROR(__xludf.DUMMYFUNCTION("""COMPUTED_VALUE"""),0.0)</f>
        <v>0</v>
      </c>
      <c r="L129" s="14" t="b">
        <v>0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5">
        <f>IFERROR(__xludf.DUMMYFUNCTION("""COMPUTED_VALUE"""),0.0)</f>
        <v>0</v>
      </c>
      <c r="K130" s="15">
        <f>IFERROR(__xludf.DUMMYFUNCTION("""COMPUTED_VALUE"""),0.0)</f>
        <v>0</v>
      </c>
      <c r="L130" s="14" t="b">
        <v>0</v>
      </c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5">
        <f>IFERROR(__xludf.DUMMYFUNCTION("""COMPUTED_VALUE"""),0.0)</f>
        <v>0</v>
      </c>
      <c r="K131" s="15">
        <f>IFERROR(__xludf.DUMMYFUNCTION("""COMPUTED_VALUE"""),0.0)</f>
        <v>0</v>
      </c>
      <c r="L131" s="14" t="b"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>
        <f>IFERROR(__xludf.DUMMYFUNCTION("""COMPUTED_VALUE"""),0.0)</f>
        <v>0</v>
      </c>
      <c r="K132" s="15">
        <f>IFERROR(__xludf.DUMMYFUNCTION("""COMPUTED_VALUE"""),0.0)</f>
        <v>0</v>
      </c>
      <c r="L132" s="14" t="b"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>
        <f>IFERROR(__xludf.DUMMYFUNCTION("""COMPUTED_VALUE"""),0.0)</f>
        <v>0</v>
      </c>
      <c r="K133" s="15">
        <f>IFERROR(__xludf.DUMMYFUNCTION("""COMPUTED_VALUE"""),0.0)</f>
        <v>0</v>
      </c>
      <c r="L133" s="14" t="b"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>
        <f>IFERROR(__xludf.DUMMYFUNCTION("""COMPUTED_VALUE"""),0.0)</f>
        <v>0</v>
      </c>
      <c r="K134" s="15">
        <f>IFERROR(__xludf.DUMMYFUNCTION("""COMPUTED_VALUE"""),0.0)</f>
        <v>0</v>
      </c>
      <c r="L134" s="14" t="b"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>
        <f>IFERROR(__xludf.DUMMYFUNCTION("""COMPUTED_VALUE"""),0.0)</f>
        <v>0</v>
      </c>
      <c r="K135" s="15">
        <f>IFERROR(__xludf.DUMMYFUNCTION("""COMPUTED_VALUE"""),0.0)</f>
        <v>0</v>
      </c>
      <c r="L135" s="14" t="b"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>
        <f>IFERROR(__xludf.DUMMYFUNCTION("""COMPUTED_VALUE"""),0.0)</f>
        <v>0</v>
      </c>
      <c r="K136" s="15">
        <f>IFERROR(__xludf.DUMMYFUNCTION("""COMPUTED_VALUE"""),0.0)</f>
        <v>0</v>
      </c>
      <c r="L136" s="14" t="b"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>
        <f>IFERROR(__xludf.DUMMYFUNCTION("""COMPUTED_VALUE"""),0.0)</f>
        <v>0</v>
      </c>
      <c r="K137" s="15">
        <f>IFERROR(__xludf.DUMMYFUNCTION("""COMPUTED_VALUE"""),0.0)</f>
        <v>0</v>
      </c>
      <c r="L137" s="14" t="b"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>
        <f>IFERROR(__xludf.DUMMYFUNCTION("""COMPUTED_VALUE"""),0.0)</f>
        <v>0</v>
      </c>
      <c r="K138" s="15">
        <f>IFERROR(__xludf.DUMMYFUNCTION("""COMPUTED_VALUE"""),0.0)</f>
        <v>0</v>
      </c>
      <c r="L138" s="14" t="b"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>
        <f>IFERROR(__xludf.DUMMYFUNCTION("""COMPUTED_VALUE"""),0.0)</f>
        <v>0</v>
      </c>
      <c r="K139" s="15">
        <f>IFERROR(__xludf.DUMMYFUNCTION("""COMPUTED_VALUE"""),0.0)</f>
        <v>0</v>
      </c>
      <c r="L139" s="14" t="b"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>
        <f>IFERROR(__xludf.DUMMYFUNCTION("""COMPUTED_VALUE"""),0.0)</f>
        <v>0</v>
      </c>
      <c r="K140" s="15">
        <f>IFERROR(__xludf.DUMMYFUNCTION("""COMPUTED_VALUE"""),0.0)</f>
        <v>0</v>
      </c>
      <c r="L140" s="14" t="b"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>
        <f>IFERROR(__xludf.DUMMYFUNCTION("""COMPUTED_VALUE"""),0.0)</f>
        <v>0</v>
      </c>
      <c r="K141" s="15">
        <f>IFERROR(__xludf.DUMMYFUNCTION("""COMPUTED_VALUE"""),0.0)</f>
        <v>0</v>
      </c>
      <c r="L141" s="14" t="b"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>
        <f>IFERROR(__xludf.DUMMYFUNCTION("""COMPUTED_VALUE"""),0.0)</f>
        <v>0</v>
      </c>
      <c r="K142" s="15">
        <f>IFERROR(__xludf.DUMMYFUNCTION("""COMPUTED_VALUE"""),0.0)</f>
        <v>0</v>
      </c>
      <c r="L142" s="14" t="b"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>
        <f>IFERROR(__xludf.DUMMYFUNCTION("""COMPUTED_VALUE"""),0.0)</f>
        <v>0</v>
      </c>
      <c r="K143" s="15">
        <f>IFERROR(__xludf.DUMMYFUNCTION("""COMPUTED_VALUE"""),0.0)</f>
        <v>0</v>
      </c>
      <c r="L143" s="14" t="b"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>
        <f>IFERROR(__xludf.DUMMYFUNCTION("""COMPUTED_VALUE"""),0.0)</f>
        <v>0</v>
      </c>
      <c r="K144" s="15">
        <f>IFERROR(__xludf.DUMMYFUNCTION("""COMPUTED_VALUE"""),0.0)</f>
        <v>0</v>
      </c>
      <c r="L144" s="14" t="b"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>
        <f>IFERROR(__xludf.DUMMYFUNCTION("""COMPUTED_VALUE"""),0.0)</f>
        <v>0</v>
      </c>
      <c r="K145" s="15">
        <f>IFERROR(__xludf.DUMMYFUNCTION("""COMPUTED_VALUE"""),0.0)</f>
        <v>0</v>
      </c>
      <c r="L145" s="14" t="b"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>
        <f>IFERROR(__xludf.DUMMYFUNCTION("""COMPUTED_VALUE"""),0.0)</f>
        <v>0</v>
      </c>
      <c r="K146" s="15">
        <f>IFERROR(__xludf.DUMMYFUNCTION("""COMPUTED_VALUE"""),0.0)</f>
        <v>0</v>
      </c>
      <c r="L146" s="14" t="b"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>
        <f>IFERROR(__xludf.DUMMYFUNCTION("""COMPUTED_VALUE"""),0.0)</f>
        <v>0</v>
      </c>
      <c r="K147" s="15">
        <f>IFERROR(__xludf.DUMMYFUNCTION("""COMPUTED_VALUE"""),0.0)</f>
        <v>0</v>
      </c>
      <c r="L147" s="14" t="b"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>
        <f>IFERROR(__xludf.DUMMYFUNCTION("""COMPUTED_VALUE"""),0.0)</f>
        <v>0</v>
      </c>
      <c r="K148" s="15">
        <f>IFERROR(__xludf.DUMMYFUNCTION("""COMPUTED_VALUE"""),0.0)</f>
        <v>0</v>
      </c>
      <c r="L148" s="14" t="b"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>
        <f>IFERROR(__xludf.DUMMYFUNCTION("""COMPUTED_VALUE"""),0.0)</f>
        <v>0</v>
      </c>
      <c r="K149" s="15">
        <f>IFERROR(__xludf.DUMMYFUNCTION("""COMPUTED_VALUE"""),0.0)</f>
        <v>0</v>
      </c>
      <c r="L149" s="14" t="b"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>
        <f>IFERROR(__xludf.DUMMYFUNCTION("""COMPUTED_VALUE"""),0.0)</f>
        <v>0</v>
      </c>
      <c r="K150" s="15">
        <f>IFERROR(__xludf.DUMMYFUNCTION("""COMPUTED_VALUE"""),0.0)</f>
        <v>0</v>
      </c>
      <c r="L150" s="14" t="b"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>
        <f>IFERROR(__xludf.DUMMYFUNCTION("""COMPUTED_VALUE"""),0.0)</f>
        <v>0</v>
      </c>
      <c r="K151" s="15">
        <f>IFERROR(__xludf.DUMMYFUNCTION("""COMPUTED_VALUE"""),0.0)</f>
        <v>0</v>
      </c>
      <c r="L151" s="14" t="b"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>
        <f>IFERROR(__xludf.DUMMYFUNCTION("""COMPUTED_VALUE"""),0.0)</f>
        <v>0</v>
      </c>
      <c r="K152" s="15">
        <f>IFERROR(__xludf.DUMMYFUNCTION("""COMPUTED_VALUE"""),0.0)</f>
        <v>0</v>
      </c>
      <c r="L152" s="14" t="b"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>
        <f>IFERROR(__xludf.DUMMYFUNCTION("""COMPUTED_VALUE"""),0.0)</f>
        <v>0</v>
      </c>
      <c r="K153" s="15">
        <f>IFERROR(__xludf.DUMMYFUNCTION("""COMPUTED_VALUE"""),0.0)</f>
        <v>0</v>
      </c>
      <c r="L153" s="14" t="b"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>
        <f>IFERROR(__xludf.DUMMYFUNCTION("""COMPUTED_VALUE"""),0.0)</f>
        <v>0</v>
      </c>
      <c r="K154" s="15">
        <f>IFERROR(__xludf.DUMMYFUNCTION("""COMPUTED_VALUE"""),0.0)</f>
        <v>0</v>
      </c>
      <c r="L154" s="14" t="b"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>
        <f>IFERROR(__xludf.DUMMYFUNCTION("""COMPUTED_VALUE"""),0.0)</f>
        <v>0</v>
      </c>
      <c r="K155" s="15">
        <f>IFERROR(__xludf.DUMMYFUNCTION("""COMPUTED_VALUE"""),0.0)</f>
        <v>0</v>
      </c>
      <c r="L155" s="14" t="b"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>
        <f>IFERROR(__xludf.DUMMYFUNCTION("""COMPUTED_VALUE"""),0.0)</f>
        <v>0</v>
      </c>
      <c r="K156" s="15">
        <f>IFERROR(__xludf.DUMMYFUNCTION("""COMPUTED_VALUE"""),0.0)</f>
        <v>0</v>
      </c>
      <c r="L156" s="14" t="b"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>
        <f>IFERROR(__xludf.DUMMYFUNCTION("""COMPUTED_VALUE"""),0.0)</f>
        <v>0</v>
      </c>
      <c r="K157" s="15">
        <f>IFERROR(__xludf.DUMMYFUNCTION("""COMPUTED_VALUE"""),0.0)</f>
        <v>0</v>
      </c>
      <c r="L157" s="14" t="b"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>
        <f>IFERROR(__xludf.DUMMYFUNCTION("""COMPUTED_VALUE"""),0.0)</f>
        <v>0</v>
      </c>
      <c r="K158" s="15">
        <f>IFERROR(__xludf.DUMMYFUNCTION("""COMPUTED_VALUE"""),0.0)</f>
        <v>0</v>
      </c>
      <c r="L158" s="14" t="b"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>
        <f>IFERROR(__xludf.DUMMYFUNCTION("""COMPUTED_VALUE"""),0.0)</f>
        <v>0</v>
      </c>
      <c r="K159" s="15">
        <f>IFERROR(__xludf.DUMMYFUNCTION("""COMPUTED_VALUE"""),0.0)</f>
        <v>0</v>
      </c>
      <c r="L159" s="14" t="b"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>
        <f>IFERROR(__xludf.DUMMYFUNCTION("""COMPUTED_VALUE"""),0.0)</f>
        <v>0</v>
      </c>
      <c r="K160" s="15">
        <f>IFERROR(__xludf.DUMMYFUNCTION("""COMPUTED_VALUE"""),0.0)</f>
        <v>0</v>
      </c>
      <c r="L160" s="14" t="b"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>
        <f>IFERROR(__xludf.DUMMYFUNCTION("""COMPUTED_VALUE"""),0.0)</f>
        <v>0</v>
      </c>
      <c r="K161" s="15">
        <f>IFERROR(__xludf.DUMMYFUNCTION("""COMPUTED_VALUE"""),0.0)</f>
        <v>0</v>
      </c>
      <c r="L161" s="14" t="b"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>
        <f>IFERROR(__xludf.DUMMYFUNCTION("""COMPUTED_VALUE"""),0.0)</f>
        <v>0</v>
      </c>
      <c r="K162" s="15">
        <f>IFERROR(__xludf.DUMMYFUNCTION("""COMPUTED_VALUE"""),0.0)</f>
        <v>0</v>
      </c>
      <c r="L162" s="14" t="b"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>
        <f>IFERROR(__xludf.DUMMYFUNCTION("""COMPUTED_VALUE"""),0.0)</f>
        <v>0</v>
      </c>
      <c r="K163" s="15">
        <f>IFERROR(__xludf.DUMMYFUNCTION("""COMPUTED_VALUE"""),0.0)</f>
        <v>0</v>
      </c>
      <c r="L163" s="14" t="b"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>
        <f>IFERROR(__xludf.DUMMYFUNCTION("""COMPUTED_VALUE"""),0.0)</f>
        <v>0</v>
      </c>
      <c r="K164" s="15">
        <f>IFERROR(__xludf.DUMMYFUNCTION("""COMPUTED_VALUE"""),0.0)</f>
        <v>0</v>
      </c>
      <c r="L164" s="14" t="b"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>
        <f>IFERROR(__xludf.DUMMYFUNCTION("""COMPUTED_VALUE"""),0.0)</f>
        <v>0</v>
      </c>
      <c r="K165" s="15">
        <f>IFERROR(__xludf.DUMMYFUNCTION("""COMPUTED_VALUE"""),0.0)</f>
        <v>0</v>
      </c>
      <c r="L165" s="14" t="b"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>
        <f>IFERROR(__xludf.DUMMYFUNCTION("""COMPUTED_VALUE"""),0.0)</f>
        <v>0</v>
      </c>
      <c r="K166" s="15">
        <f>IFERROR(__xludf.DUMMYFUNCTION("""COMPUTED_VALUE"""),0.0)</f>
        <v>0</v>
      </c>
      <c r="L166" s="14" t="b"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>
        <f>IFERROR(__xludf.DUMMYFUNCTION("""COMPUTED_VALUE"""),0.0)</f>
        <v>0</v>
      </c>
      <c r="K167" s="15">
        <f>IFERROR(__xludf.DUMMYFUNCTION("""COMPUTED_VALUE"""),0.0)</f>
        <v>0</v>
      </c>
      <c r="L167" s="14" t="b"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>
        <f>IFERROR(__xludf.DUMMYFUNCTION("""COMPUTED_VALUE"""),0.0)</f>
        <v>0</v>
      </c>
      <c r="K168" s="15">
        <f>IFERROR(__xludf.DUMMYFUNCTION("""COMPUTED_VALUE"""),0.0)</f>
        <v>0</v>
      </c>
      <c r="L168" s="14" t="b"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>
        <f>IFERROR(__xludf.DUMMYFUNCTION("""COMPUTED_VALUE"""),0.0)</f>
        <v>0</v>
      </c>
      <c r="K169" s="15">
        <f>IFERROR(__xludf.DUMMYFUNCTION("""COMPUTED_VALUE"""),0.0)</f>
        <v>0</v>
      </c>
      <c r="L169" s="14" t="b"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>
        <f>IFERROR(__xludf.DUMMYFUNCTION("""COMPUTED_VALUE"""),0.0)</f>
        <v>0</v>
      </c>
      <c r="K170" s="15">
        <f>IFERROR(__xludf.DUMMYFUNCTION("""COMPUTED_VALUE"""),0.0)</f>
        <v>0</v>
      </c>
      <c r="L170" s="14" t="b"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>
        <f>IFERROR(__xludf.DUMMYFUNCTION("""COMPUTED_VALUE"""),0.0)</f>
        <v>0</v>
      </c>
      <c r="K171" s="15">
        <f>IFERROR(__xludf.DUMMYFUNCTION("""COMPUTED_VALUE"""),0.0)</f>
        <v>0</v>
      </c>
      <c r="L171" s="14" t="b"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>
        <f>IFERROR(__xludf.DUMMYFUNCTION("""COMPUTED_VALUE"""),0.0)</f>
        <v>0</v>
      </c>
      <c r="K172" s="15">
        <f>IFERROR(__xludf.DUMMYFUNCTION("""COMPUTED_VALUE"""),0.0)</f>
        <v>0</v>
      </c>
      <c r="L172" s="14" t="b"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>
        <f>IFERROR(__xludf.DUMMYFUNCTION("""COMPUTED_VALUE"""),0.0)</f>
        <v>0</v>
      </c>
      <c r="K173" s="15">
        <f>IFERROR(__xludf.DUMMYFUNCTION("""COMPUTED_VALUE"""),0.0)</f>
        <v>0</v>
      </c>
      <c r="L173" s="14" t="b"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>
        <f>IFERROR(__xludf.DUMMYFUNCTION("""COMPUTED_VALUE"""),0.0)</f>
        <v>0</v>
      </c>
      <c r="K174" s="15">
        <f>IFERROR(__xludf.DUMMYFUNCTION("""COMPUTED_VALUE"""),0.0)</f>
        <v>0</v>
      </c>
      <c r="L174" s="14" t="b"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>
        <f>IFERROR(__xludf.DUMMYFUNCTION("""COMPUTED_VALUE"""),0.0)</f>
        <v>0</v>
      </c>
      <c r="K175" s="15">
        <f>IFERROR(__xludf.DUMMYFUNCTION("""COMPUTED_VALUE"""),0.0)</f>
        <v>0</v>
      </c>
      <c r="L175" s="14" t="b"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>
        <f>IFERROR(__xludf.DUMMYFUNCTION("""COMPUTED_VALUE"""),0.0)</f>
        <v>0</v>
      </c>
      <c r="K176" s="15">
        <f>IFERROR(__xludf.DUMMYFUNCTION("""COMPUTED_VALUE"""),0.0)</f>
        <v>0</v>
      </c>
      <c r="L176" s="14" t="b"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>
        <f>IFERROR(__xludf.DUMMYFUNCTION("""COMPUTED_VALUE"""),0.0)</f>
        <v>0</v>
      </c>
      <c r="K177" s="15">
        <f>IFERROR(__xludf.DUMMYFUNCTION("""COMPUTED_VALUE"""),0.0)</f>
        <v>0</v>
      </c>
      <c r="L177" s="14" t="b"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>
        <f>IFERROR(__xludf.DUMMYFUNCTION("""COMPUTED_VALUE"""),0.0)</f>
        <v>0</v>
      </c>
      <c r="K178" s="15">
        <f>IFERROR(__xludf.DUMMYFUNCTION("""COMPUTED_VALUE"""),0.0)</f>
        <v>0</v>
      </c>
      <c r="L178" s="14" t="b"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>
        <f>IFERROR(__xludf.DUMMYFUNCTION("""COMPUTED_VALUE"""),0.0)</f>
        <v>0</v>
      </c>
      <c r="K179" s="15">
        <f>IFERROR(__xludf.DUMMYFUNCTION("""COMPUTED_VALUE"""),0.0)</f>
        <v>0</v>
      </c>
      <c r="L179" s="14" t="b"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>
        <f>IFERROR(__xludf.DUMMYFUNCTION("""COMPUTED_VALUE"""),0.0)</f>
        <v>0</v>
      </c>
      <c r="K180" s="15">
        <f>IFERROR(__xludf.DUMMYFUNCTION("""COMPUTED_VALUE"""),0.0)</f>
        <v>0</v>
      </c>
      <c r="L180" s="14" t="b"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>
        <f>IFERROR(__xludf.DUMMYFUNCTION("""COMPUTED_VALUE"""),0.0)</f>
        <v>0</v>
      </c>
      <c r="K181" s="15">
        <f>IFERROR(__xludf.DUMMYFUNCTION("""COMPUTED_VALUE"""),0.0)</f>
        <v>0</v>
      </c>
      <c r="L181" s="14" t="b"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>
        <f>IFERROR(__xludf.DUMMYFUNCTION("""COMPUTED_VALUE"""),0.0)</f>
        <v>0</v>
      </c>
      <c r="K182" s="15">
        <f>IFERROR(__xludf.DUMMYFUNCTION("""COMPUTED_VALUE"""),0.0)</f>
        <v>0</v>
      </c>
      <c r="L182" s="14" t="b"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>
        <f>IFERROR(__xludf.DUMMYFUNCTION("""COMPUTED_VALUE"""),0.0)</f>
        <v>0</v>
      </c>
      <c r="K183" s="15">
        <f>IFERROR(__xludf.DUMMYFUNCTION("""COMPUTED_VALUE"""),0.0)</f>
        <v>0</v>
      </c>
      <c r="L183" s="14" t="b"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>
        <f>IFERROR(__xludf.DUMMYFUNCTION("""COMPUTED_VALUE"""),0.0)</f>
        <v>0</v>
      </c>
      <c r="K184" s="15">
        <f>IFERROR(__xludf.DUMMYFUNCTION("""COMPUTED_VALUE"""),0.0)</f>
        <v>0</v>
      </c>
      <c r="L184" s="14" t="b"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>
        <f>IFERROR(__xludf.DUMMYFUNCTION("""COMPUTED_VALUE"""),0.0)</f>
        <v>0</v>
      </c>
      <c r="K185" s="15">
        <f>IFERROR(__xludf.DUMMYFUNCTION("""COMPUTED_VALUE"""),0.0)</f>
        <v>0</v>
      </c>
      <c r="L185" s="14" t="b"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>
        <f>IFERROR(__xludf.DUMMYFUNCTION("""COMPUTED_VALUE"""),0.0)</f>
        <v>0</v>
      </c>
      <c r="K186" s="15">
        <f>IFERROR(__xludf.DUMMYFUNCTION("""COMPUTED_VALUE"""),0.0)</f>
        <v>0</v>
      </c>
      <c r="L186" s="14" t="b"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>
        <f>IFERROR(__xludf.DUMMYFUNCTION("""COMPUTED_VALUE"""),0.0)</f>
        <v>0</v>
      </c>
      <c r="K187" s="15">
        <f>IFERROR(__xludf.DUMMYFUNCTION("""COMPUTED_VALUE"""),0.0)</f>
        <v>0</v>
      </c>
      <c r="L187" s="14" t="b"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>
        <f>IFERROR(__xludf.DUMMYFUNCTION("""COMPUTED_VALUE"""),0.0)</f>
        <v>0</v>
      </c>
      <c r="K188" s="15">
        <f>IFERROR(__xludf.DUMMYFUNCTION("""COMPUTED_VALUE"""),0.0)</f>
        <v>0</v>
      </c>
      <c r="L188" s="14" t="b"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>
        <f>IFERROR(__xludf.DUMMYFUNCTION("""COMPUTED_VALUE"""),0.0)</f>
        <v>0</v>
      </c>
      <c r="K189" s="15">
        <f>IFERROR(__xludf.DUMMYFUNCTION("""COMPUTED_VALUE"""),0.0)</f>
        <v>0</v>
      </c>
      <c r="L189" s="14" t="b"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>
        <f>IFERROR(__xludf.DUMMYFUNCTION("""COMPUTED_VALUE"""),0.0)</f>
        <v>0</v>
      </c>
      <c r="K190" s="15">
        <f>IFERROR(__xludf.DUMMYFUNCTION("""COMPUTED_VALUE"""),0.0)</f>
        <v>0</v>
      </c>
      <c r="L190" s="14" t="b"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>
        <f>IFERROR(__xludf.DUMMYFUNCTION("""COMPUTED_VALUE"""),0.0)</f>
        <v>0</v>
      </c>
      <c r="K191" s="15">
        <f>IFERROR(__xludf.DUMMYFUNCTION("""COMPUTED_VALUE"""),0.0)</f>
        <v>0</v>
      </c>
      <c r="L191" s="14" t="b"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>
        <f>IFERROR(__xludf.DUMMYFUNCTION("""COMPUTED_VALUE"""),0.0)</f>
        <v>0</v>
      </c>
      <c r="K192" s="15">
        <f>IFERROR(__xludf.DUMMYFUNCTION("""COMPUTED_VALUE"""),0.0)</f>
        <v>0</v>
      </c>
      <c r="L192" s="14" t="b"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>
        <f>IFERROR(__xludf.DUMMYFUNCTION("""COMPUTED_VALUE"""),0.0)</f>
        <v>0</v>
      </c>
      <c r="K193" s="15">
        <f>IFERROR(__xludf.DUMMYFUNCTION("""COMPUTED_VALUE"""),0.0)</f>
        <v>0</v>
      </c>
      <c r="L193" s="14" t="b"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>
        <f>IFERROR(__xludf.DUMMYFUNCTION("""COMPUTED_VALUE"""),0.0)</f>
        <v>0</v>
      </c>
      <c r="K194" s="15">
        <f>IFERROR(__xludf.DUMMYFUNCTION("""COMPUTED_VALUE"""),0.0)</f>
        <v>0</v>
      </c>
      <c r="L194" s="14" t="b"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>
        <f>IFERROR(__xludf.DUMMYFUNCTION("""COMPUTED_VALUE"""),0.0)</f>
        <v>0</v>
      </c>
      <c r="K195" s="15">
        <f>IFERROR(__xludf.DUMMYFUNCTION("""COMPUTED_VALUE"""),0.0)</f>
        <v>0</v>
      </c>
      <c r="L195" s="14" t="b"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>
        <f>IFERROR(__xludf.DUMMYFUNCTION("""COMPUTED_VALUE"""),0.0)</f>
        <v>0</v>
      </c>
      <c r="K196" s="15">
        <f>IFERROR(__xludf.DUMMYFUNCTION("""COMPUTED_VALUE"""),0.0)</f>
        <v>0</v>
      </c>
      <c r="L196" s="14" t="b"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>
        <f>IFERROR(__xludf.DUMMYFUNCTION("""COMPUTED_VALUE"""),0.0)</f>
        <v>0</v>
      </c>
      <c r="K197" s="15">
        <f>IFERROR(__xludf.DUMMYFUNCTION("""COMPUTED_VALUE"""),0.0)</f>
        <v>0</v>
      </c>
      <c r="L197" s="14" t="b"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>
        <f>IFERROR(__xludf.DUMMYFUNCTION("""COMPUTED_VALUE"""),0.0)</f>
        <v>0</v>
      </c>
      <c r="K198" s="15">
        <f>IFERROR(__xludf.DUMMYFUNCTION("""COMPUTED_VALUE"""),0.0)</f>
        <v>0</v>
      </c>
      <c r="L198" s="14" t="b"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>
        <f>IFERROR(__xludf.DUMMYFUNCTION("""COMPUTED_VALUE"""),0.0)</f>
        <v>0</v>
      </c>
      <c r="K199" s="15">
        <f>IFERROR(__xludf.DUMMYFUNCTION("""COMPUTED_VALUE"""),0.0)</f>
        <v>0</v>
      </c>
      <c r="L199" s="14" t="b"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>
        <f>IFERROR(__xludf.DUMMYFUNCTION("""COMPUTED_VALUE"""),0.0)</f>
        <v>0</v>
      </c>
      <c r="K200" s="15">
        <f>IFERROR(__xludf.DUMMYFUNCTION("""COMPUTED_VALUE"""),0.0)</f>
        <v>0</v>
      </c>
      <c r="L200" s="14" t="b"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>
        <f>IFERROR(__xludf.DUMMYFUNCTION("""COMPUTED_VALUE"""),0.0)</f>
        <v>0</v>
      </c>
      <c r="K201" s="15">
        <f>IFERROR(__xludf.DUMMYFUNCTION("""COMPUTED_VALUE"""),0.0)</f>
        <v>0</v>
      </c>
      <c r="L201" s="14" t="b"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25"/>
  </cols>
  <sheetData>
    <row r="1">
      <c r="A1" s="14" t="str">
        <f>IFERROR(__xludf.DUMMYFUNCTION("IMPORTRANGE(""https://docs.google.com/spreadsheets/d/1eO365hmI2Nm9_YssKGka92teOkoRD0uzSnM0r31D7ek/edit?pli=1#gid=606377111"",""2026 Mike!A:k"")"),"Job #")</f>
        <v>Job #</v>
      </c>
      <c r="B1" s="14" t="str">
        <f>IFERROR(__xludf.DUMMYFUNCTION("""COMPUTED_VALUE"""),"Name")</f>
        <v>Name</v>
      </c>
      <c r="C1" s="14" t="str">
        <f>IFERROR(__xludf.DUMMYFUNCTION("""COMPUTED_VALUE"""),"Paid in Full")</f>
        <v>Paid in Full</v>
      </c>
      <c r="D1" s="14" t="str">
        <f>IFERROR(__xludf.DUMMYFUNCTION("""COMPUTED_VALUE"""),"GP %")</f>
        <v>GP %</v>
      </c>
      <c r="E1" s="14" t="str">
        <f>IFERROR(__xludf.DUMMYFUNCTION("""COMPUTED_VALUE"""),"Contract")</f>
        <v>Contract</v>
      </c>
      <c r="F1" s="14" t="str">
        <f>IFERROR(__xludf.DUMMYFUNCTION("""COMPUTED_VALUE"""),"Change Orders")</f>
        <v>Change Orders</v>
      </c>
      <c r="G1" s="15" t="str">
        <f>IFERROR(__xludf.DUMMYFUNCTION("""COMPUTED_VALUE"""),"Invoiced")</f>
        <v>Invoiced</v>
      </c>
      <c r="H1" s="14" t="str">
        <f>IFERROR(__xludf.DUMMYFUNCTION("""COMPUTED_VALUE"""),"Amount Paid")</f>
        <v>Amount Paid</v>
      </c>
      <c r="I1" s="15" t="str">
        <f>IFERROR(__xludf.DUMMYFUNCTION("""COMPUTED_VALUE"""),"Expected Commission")</f>
        <v>Expected Commission</v>
      </c>
      <c r="J1" s="15" t="str">
        <f>IFERROR(__xludf.DUMMYFUNCTION("""COMPUTED_VALUE"""),"Commission Paid")</f>
        <v>Commission Paid</v>
      </c>
      <c r="K1" s="15" t="str">
        <f>IFERROR(__xludf.DUMMYFUNCTION("""COMPUTED_VALUE"""),"Commission Owed")</f>
        <v>Commission Owed</v>
      </c>
      <c r="L1" s="16" t="s">
        <v>55</v>
      </c>
    </row>
    <row r="2">
      <c r="A2" s="17">
        <f>IFERROR(__xludf.DUMMYFUNCTION("""COMPUTED_VALUE"""),2.0265012E7)</f>
        <v>20265012</v>
      </c>
      <c r="B2" s="17" t="str">
        <f>IFERROR(__xludf.DUMMYFUNCTION("""COMPUTED_VALUE"""),"Deborah Tippie")</f>
        <v>Deborah Tippie</v>
      </c>
      <c r="C2" s="17" t="b">
        <f>IFERROR(__xludf.DUMMYFUNCTION("""COMPUTED_VALUE"""),TRUE)</f>
        <v>1</v>
      </c>
      <c r="D2" s="18">
        <f>IFERROR(__xludf.DUMMYFUNCTION("""COMPUTED_VALUE"""),1.0)</f>
        <v>1</v>
      </c>
      <c r="E2" s="19">
        <f>IFERROR(__xludf.DUMMYFUNCTION("""COMPUTED_VALUE"""),506.25)</f>
        <v>506.25</v>
      </c>
      <c r="F2" s="19">
        <f>IFERROR(__xludf.DUMMYFUNCTION("""COMPUTED_VALUE"""),0.0)</f>
        <v>0</v>
      </c>
      <c r="G2" s="19">
        <f>IFERROR(__xludf.DUMMYFUNCTION("""COMPUTED_VALUE"""),506.25)</f>
        <v>506.25</v>
      </c>
      <c r="H2" s="19">
        <f>IFERROR(__xludf.DUMMYFUNCTION("""COMPUTED_VALUE"""),506.25)</f>
        <v>506.25</v>
      </c>
      <c r="I2" s="19">
        <f>IFERROR(__xludf.DUMMYFUNCTION("""COMPUTED_VALUE"""),25.3125)</f>
        <v>25.3125</v>
      </c>
      <c r="J2" s="19">
        <f>IFERROR(__xludf.DUMMYFUNCTION("""COMPUTED_VALUE"""),25.31)</f>
        <v>25.31</v>
      </c>
      <c r="K2" s="19">
        <f>IFERROR(__xludf.DUMMYFUNCTION("""COMPUTED_VALUE"""),0.0)</f>
        <v>0</v>
      </c>
      <c r="L2" s="20" t="b">
        <v>0</v>
      </c>
    </row>
    <row r="3">
      <c r="A3" s="14">
        <f>IFERROR(__xludf.DUMMYFUNCTION("""COMPUTED_VALUE"""),2.0265042E7)</f>
        <v>20265042</v>
      </c>
      <c r="B3" s="14" t="str">
        <f>IFERROR(__xludf.DUMMYFUNCTION("""COMPUTED_VALUE"""),"Steve And Margaret Callon")</f>
        <v>Steve And Margaret Callon</v>
      </c>
      <c r="C3" s="14" t="b">
        <f>IFERROR(__xludf.DUMMYFUNCTION("""COMPUTED_VALUE"""),FALSE)</f>
        <v>0</v>
      </c>
      <c r="D3" s="21" t="str">
        <f>IFERROR(__xludf.DUMMYFUNCTION("""COMPUTED_VALUE"""),"")</f>
        <v/>
      </c>
      <c r="E3" s="15">
        <f>IFERROR(__xludf.DUMMYFUNCTION("""COMPUTED_VALUE"""),5376.37)</f>
        <v>5376.37</v>
      </c>
      <c r="F3" s="15">
        <f>IFERROR(__xludf.DUMMYFUNCTION("""COMPUTED_VALUE"""),0.0)</f>
        <v>0</v>
      </c>
      <c r="G3" s="15">
        <f>IFERROR(__xludf.DUMMYFUNCTION("""COMPUTED_VALUE"""),0.0)</f>
        <v>0</v>
      </c>
      <c r="H3" s="15">
        <f>IFERROR(__xludf.DUMMYFUNCTION("""COMPUTED_VALUE"""),0.0)</f>
        <v>0</v>
      </c>
      <c r="I3" s="15">
        <f>IFERROR(__xludf.DUMMYFUNCTION("""COMPUTED_VALUE"""),268.81850000000003)</f>
        <v>268.8185</v>
      </c>
      <c r="J3" s="15">
        <f>IFERROR(__xludf.DUMMYFUNCTION("""COMPUTED_VALUE"""),0.0)</f>
        <v>0</v>
      </c>
      <c r="K3" s="15">
        <f>IFERROR(__xludf.DUMMYFUNCTION("""COMPUTED_VALUE"""),0.0)</f>
        <v>0</v>
      </c>
      <c r="L3" s="14" t="b">
        <v>0</v>
      </c>
    </row>
    <row r="4">
      <c r="A4" s="14">
        <f>IFERROR(__xludf.DUMMYFUNCTION("""COMPUTED_VALUE"""),2.0265058E7)</f>
        <v>20265058</v>
      </c>
      <c r="B4" s="14" t="str">
        <f>IFERROR(__xludf.DUMMYFUNCTION("""COMPUTED_VALUE"""),"INS - Mohammed Hussain")</f>
        <v>INS - Mohammed Hussain</v>
      </c>
      <c r="C4" s="14" t="b">
        <f>IFERROR(__xludf.DUMMYFUNCTION("""COMPUTED_VALUE"""),FALSE)</f>
        <v>0</v>
      </c>
      <c r="D4" s="21" t="str">
        <f>IFERROR(__xludf.DUMMYFUNCTION("""COMPUTED_VALUE"""),"")</f>
        <v/>
      </c>
      <c r="E4" s="15">
        <f>IFERROR(__xludf.DUMMYFUNCTION("""COMPUTED_VALUE"""),29397.84)</f>
        <v>29397.84</v>
      </c>
      <c r="F4" s="15">
        <f>IFERROR(__xludf.DUMMYFUNCTION("""COMPUTED_VALUE"""),0.0)</f>
        <v>0</v>
      </c>
      <c r="G4" s="15">
        <f>IFERROR(__xludf.DUMMYFUNCTION("""COMPUTED_VALUE"""),0.0)</f>
        <v>0</v>
      </c>
      <c r="H4" s="15">
        <f>IFERROR(__xludf.DUMMYFUNCTION("""COMPUTED_VALUE"""),0.0)</f>
        <v>0</v>
      </c>
      <c r="I4" s="15">
        <f>IFERROR(__xludf.DUMMYFUNCTION("""COMPUTED_VALUE"""),1469.892)</f>
        <v>1469.892</v>
      </c>
      <c r="J4" s="15">
        <f>IFERROR(__xludf.DUMMYFUNCTION("""COMPUTED_VALUE"""),0.0)</f>
        <v>0</v>
      </c>
      <c r="K4" s="15">
        <f>IFERROR(__xludf.DUMMYFUNCTION("""COMPUTED_VALUE"""),0.0)</f>
        <v>0</v>
      </c>
      <c r="L4" s="14" t="b">
        <v>0</v>
      </c>
    </row>
    <row r="5">
      <c r="A5" s="14">
        <f>IFERROR(__xludf.DUMMYFUNCTION("""COMPUTED_VALUE"""),2.0265065E7)</f>
        <v>20265065</v>
      </c>
      <c r="B5" s="14" t="str">
        <f>IFERROR(__xludf.DUMMYFUNCTION("""COMPUTED_VALUE"""),"Steve Liptak")</f>
        <v>Steve Liptak</v>
      </c>
      <c r="C5" s="14" t="b">
        <f>IFERROR(__xludf.DUMMYFUNCTION("""COMPUTED_VALUE"""),FALSE)</f>
        <v>0</v>
      </c>
      <c r="D5" s="21" t="str">
        <f>IFERROR(__xludf.DUMMYFUNCTION("""COMPUTED_VALUE"""),"")</f>
        <v/>
      </c>
      <c r="E5" s="15">
        <f>IFERROR(__xludf.DUMMYFUNCTION("""COMPUTED_VALUE"""),1744.28)</f>
        <v>1744.28</v>
      </c>
      <c r="F5" s="15">
        <f>IFERROR(__xludf.DUMMYFUNCTION("""COMPUTED_VALUE"""),0.0)</f>
        <v>0</v>
      </c>
      <c r="G5" s="15">
        <f>IFERROR(__xludf.DUMMYFUNCTION("""COMPUTED_VALUE"""),0.0)</f>
        <v>0</v>
      </c>
      <c r="H5" s="15">
        <f>IFERROR(__xludf.DUMMYFUNCTION("""COMPUTED_VALUE"""),0.0)</f>
        <v>0</v>
      </c>
      <c r="I5" s="15">
        <f>IFERROR(__xludf.DUMMYFUNCTION("""COMPUTED_VALUE"""),87.214)</f>
        <v>87.214</v>
      </c>
      <c r="J5" s="15">
        <f>IFERROR(__xludf.DUMMYFUNCTION("""COMPUTED_VALUE"""),0.0)</f>
        <v>0</v>
      </c>
      <c r="K5" s="15">
        <f>IFERROR(__xludf.DUMMYFUNCTION("""COMPUTED_VALUE"""),0.0)</f>
        <v>0</v>
      </c>
      <c r="L5" s="14" t="b">
        <v>0</v>
      </c>
    </row>
    <row r="6">
      <c r="A6" s="14">
        <f>IFERROR(__xludf.DUMMYFUNCTION("""COMPUTED_VALUE"""),2.0265073E7)</f>
        <v>20265073</v>
      </c>
      <c r="B6" s="14" t="str">
        <f>IFERROR(__xludf.DUMMYFUNCTION("""COMPUTED_VALUE"""),"INS - Patricia Howard")</f>
        <v>INS - Patricia Howard</v>
      </c>
      <c r="C6" s="14" t="b">
        <f>IFERROR(__xludf.DUMMYFUNCTION("""COMPUTED_VALUE"""),FALSE)</f>
        <v>0</v>
      </c>
      <c r="D6" s="21" t="str">
        <f>IFERROR(__xludf.DUMMYFUNCTION("""COMPUTED_VALUE"""),"")</f>
        <v/>
      </c>
      <c r="E6" s="15">
        <f>IFERROR(__xludf.DUMMYFUNCTION("""COMPUTED_VALUE"""),9068.42)</f>
        <v>9068.42</v>
      </c>
      <c r="F6" s="15">
        <f>IFERROR(__xludf.DUMMYFUNCTION("""COMPUTED_VALUE"""),0.0)</f>
        <v>0</v>
      </c>
      <c r="G6" s="15">
        <f>IFERROR(__xludf.DUMMYFUNCTION("""COMPUTED_VALUE"""),0.0)</f>
        <v>0</v>
      </c>
      <c r="H6" s="15">
        <f>IFERROR(__xludf.DUMMYFUNCTION("""COMPUTED_VALUE"""),0.0)</f>
        <v>0</v>
      </c>
      <c r="I6" s="15">
        <f>IFERROR(__xludf.DUMMYFUNCTION("""COMPUTED_VALUE"""),453.42100000000005)</f>
        <v>453.421</v>
      </c>
      <c r="J6" s="15">
        <f>IFERROR(__xludf.DUMMYFUNCTION("""COMPUTED_VALUE"""),0.0)</f>
        <v>0</v>
      </c>
      <c r="K6" s="15">
        <f>IFERROR(__xludf.DUMMYFUNCTION("""COMPUTED_VALUE"""),0.0)</f>
        <v>0</v>
      </c>
      <c r="L6" s="14" t="b">
        <v>0</v>
      </c>
    </row>
    <row r="7">
      <c r="A7" s="14">
        <f>IFERROR(__xludf.DUMMYFUNCTION("""COMPUTED_VALUE"""),2.0265098E7)</f>
        <v>20265098</v>
      </c>
      <c r="B7" s="14" t="str">
        <f>IFERROR(__xludf.DUMMYFUNCTION("""COMPUTED_VALUE"""),"Dave Nelson")</f>
        <v>Dave Nelson</v>
      </c>
      <c r="C7" s="14" t="b">
        <f>IFERROR(__xludf.DUMMYFUNCTION("""COMPUTED_VALUE"""),FALSE)</f>
        <v>0</v>
      </c>
      <c r="D7" s="21">
        <f>IFERROR(__xludf.DUMMYFUNCTION("""COMPUTED_VALUE"""),1.0)</f>
        <v>1</v>
      </c>
      <c r="E7" s="15">
        <f>IFERROR(__xludf.DUMMYFUNCTION("""COMPUTED_VALUE"""),25136.83)</f>
        <v>25136.83</v>
      </c>
      <c r="F7" s="15">
        <f>IFERROR(__xludf.DUMMYFUNCTION("""COMPUTED_VALUE"""),0.0)</f>
        <v>0</v>
      </c>
      <c r="G7" s="15">
        <f>IFERROR(__xludf.DUMMYFUNCTION("""COMPUTED_VALUE"""),25136.83)</f>
        <v>25136.83</v>
      </c>
      <c r="H7" s="15">
        <f>IFERROR(__xludf.DUMMYFUNCTION("""COMPUTED_VALUE"""),0.0)</f>
        <v>0</v>
      </c>
      <c r="I7" s="15">
        <f>IFERROR(__xludf.DUMMYFUNCTION("""COMPUTED_VALUE"""),1256.8415000000002)</f>
        <v>1256.8415</v>
      </c>
      <c r="J7" s="15">
        <f>IFERROR(__xludf.DUMMYFUNCTION("""COMPUTED_VALUE"""),0.0)</f>
        <v>0</v>
      </c>
      <c r="K7" s="15">
        <f>IFERROR(__xludf.DUMMYFUNCTION("""COMPUTED_VALUE"""),0.0)</f>
        <v>0</v>
      </c>
      <c r="L7" s="14" t="b">
        <v>0</v>
      </c>
    </row>
    <row r="8">
      <c r="A8" s="14">
        <f>IFERROR(__xludf.DUMMYFUNCTION("""COMPUTED_VALUE"""),2.02651E7)</f>
        <v>20265100</v>
      </c>
      <c r="B8" s="14" t="str">
        <f>IFERROR(__xludf.DUMMYFUNCTION("""COMPUTED_VALUE"""),"Dan Hensley")</f>
        <v>Dan Hensley</v>
      </c>
      <c r="C8" s="14" t="b">
        <f>IFERROR(__xludf.DUMMYFUNCTION("""COMPUTED_VALUE"""),FALSE)</f>
        <v>0</v>
      </c>
      <c r="D8" s="21">
        <f>IFERROR(__xludf.DUMMYFUNCTION("""COMPUTED_VALUE"""),1.0)</f>
        <v>1</v>
      </c>
      <c r="E8" s="15">
        <f>IFERROR(__xludf.DUMMYFUNCTION("""COMPUTED_VALUE"""),893.5)</f>
        <v>893.5</v>
      </c>
      <c r="F8" s="15">
        <f>IFERROR(__xludf.DUMMYFUNCTION("""COMPUTED_VALUE"""),0.0)</f>
        <v>0</v>
      </c>
      <c r="G8" s="15">
        <f>IFERROR(__xludf.DUMMYFUNCTION("""COMPUTED_VALUE"""),893.5)</f>
        <v>893.5</v>
      </c>
      <c r="H8" s="15">
        <f>IFERROR(__xludf.DUMMYFUNCTION("""COMPUTED_VALUE"""),0.0)</f>
        <v>0</v>
      </c>
      <c r="I8" s="15">
        <f>IFERROR(__xludf.DUMMYFUNCTION("""COMPUTED_VALUE"""),44.675000000000004)</f>
        <v>44.675</v>
      </c>
      <c r="J8" s="15">
        <f>IFERROR(__xludf.DUMMYFUNCTION("""COMPUTED_VALUE"""),0.0)</f>
        <v>0</v>
      </c>
      <c r="K8" s="15">
        <f>IFERROR(__xludf.DUMMYFUNCTION("""COMPUTED_VALUE"""),0.0)</f>
        <v>0</v>
      </c>
      <c r="L8" s="14" t="b">
        <v>0</v>
      </c>
    </row>
    <row r="9">
      <c r="A9" s="14">
        <f>IFERROR(__xludf.DUMMYFUNCTION("""COMPUTED_VALUE"""),2.0265109E7)</f>
        <v>20265109</v>
      </c>
      <c r="B9" s="14" t="str">
        <f>IFERROR(__xludf.DUMMYFUNCTION("""COMPUTED_VALUE"""),"David Young")</f>
        <v>David Young</v>
      </c>
      <c r="C9" s="14" t="b">
        <f>IFERROR(__xludf.DUMMYFUNCTION("""COMPUTED_VALUE"""),FALSE)</f>
        <v>0</v>
      </c>
      <c r="D9" s="21" t="str">
        <f>IFERROR(__xludf.DUMMYFUNCTION("""COMPUTED_VALUE"""),"")</f>
        <v/>
      </c>
      <c r="E9" s="15">
        <f>IFERROR(__xludf.DUMMYFUNCTION("""COMPUTED_VALUE"""),591.35)</f>
        <v>591.35</v>
      </c>
      <c r="F9" s="15">
        <f>IFERROR(__xludf.DUMMYFUNCTION("""COMPUTED_VALUE"""),0.0)</f>
        <v>0</v>
      </c>
      <c r="G9" s="15">
        <f>IFERROR(__xludf.DUMMYFUNCTION("""COMPUTED_VALUE"""),0.0)</f>
        <v>0</v>
      </c>
      <c r="H9" s="15">
        <f>IFERROR(__xludf.DUMMYFUNCTION("""COMPUTED_VALUE"""),0.0)</f>
        <v>0</v>
      </c>
      <c r="I9" s="15">
        <f>IFERROR(__xludf.DUMMYFUNCTION("""COMPUTED_VALUE"""),29.567500000000003)</f>
        <v>29.5675</v>
      </c>
      <c r="J9" s="15">
        <f>IFERROR(__xludf.DUMMYFUNCTION("""COMPUTED_VALUE"""),0.0)</f>
        <v>0</v>
      </c>
      <c r="K9" s="15">
        <f>IFERROR(__xludf.DUMMYFUNCTION("""COMPUTED_VALUE"""),0.0)</f>
        <v>0</v>
      </c>
      <c r="L9" s="14" t="b">
        <v>0</v>
      </c>
    </row>
    <row r="10">
      <c r="A10" s="14">
        <f>IFERROR(__xludf.DUMMYFUNCTION("""COMPUTED_VALUE"""),2.0265112E7)</f>
        <v>20265112</v>
      </c>
      <c r="B10" s="14" t="str">
        <f>IFERROR(__xludf.DUMMYFUNCTION("""COMPUTED_VALUE"""),"INS - Dan Moorhead")</f>
        <v>INS - Dan Moorhead</v>
      </c>
      <c r="C10" s="14" t="b">
        <f>IFERROR(__xludf.DUMMYFUNCTION("""COMPUTED_VALUE"""),FALSE)</f>
        <v>0</v>
      </c>
      <c r="D10" s="21" t="str">
        <f>IFERROR(__xludf.DUMMYFUNCTION("""COMPUTED_VALUE"""),"")</f>
        <v/>
      </c>
      <c r="E10" s="15">
        <f>IFERROR(__xludf.DUMMYFUNCTION("""COMPUTED_VALUE"""),2874.78)</f>
        <v>2874.78</v>
      </c>
      <c r="F10" s="15">
        <f>IFERROR(__xludf.DUMMYFUNCTION("""COMPUTED_VALUE"""),0.0)</f>
        <v>0</v>
      </c>
      <c r="G10" s="15">
        <f>IFERROR(__xludf.DUMMYFUNCTION("""COMPUTED_VALUE"""),0.0)</f>
        <v>0</v>
      </c>
      <c r="H10" s="15">
        <f>IFERROR(__xludf.DUMMYFUNCTION("""COMPUTED_VALUE"""),0.0)</f>
        <v>0</v>
      </c>
      <c r="I10" s="15">
        <f>IFERROR(__xludf.DUMMYFUNCTION("""COMPUTED_VALUE"""),143.739)</f>
        <v>143.739</v>
      </c>
      <c r="J10" s="15">
        <f>IFERROR(__xludf.DUMMYFUNCTION("""COMPUTED_VALUE"""),0.0)</f>
        <v>0</v>
      </c>
      <c r="K10" s="15">
        <f>IFERROR(__xludf.DUMMYFUNCTION("""COMPUTED_VALUE"""),0.0)</f>
        <v>0</v>
      </c>
      <c r="L10" s="14" t="b">
        <v>0</v>
      </c>
    </row>
    <row r="11">
      <c r="A11" s="14">
        <f>IFERROR(__xludf.DUMMYFUNCTION("""COMPUTED_VALUE"""),2.0265116E7)</f>
        <v>20265116</v>
      </c>
      <c r="B11" s="14" t="str">
        <f>IFERROR(__xludf.DUMMYFUNCTION("""COMPUTED_VALUE"""),"Tara Crowl")</f>
        <v>Tara Crowl</v>
      </c>
      <c r="C11" s="14" t="b">
        <f>IFERROR(__xludf.DUMMYFUNCTION("""COMPUTED_VALUE"""),FALSE)</f>
        <v>0</v>
      </c>
      <c r="D11" s="21" t="str">
        <f>IFERROR(__xludf.DUMMYFUNCTION("""COMPUTED_VALUE"""),"")</f>
        <v/>
      </c>
      <c r="E11" s="15">
        <f>IFERROR(__xludf.DUMMYFUNCTION("""COMPUTED_VALUE"""),544.23)</f>
        <v>544.23</v>
      </c>
      <c r="F11" s="15">
        <f>IFERROR(__xludf.DUMMYFUNCTION("""COMPUTED_VALUE"""),0.0)</f>
        <v>0</v>
      </c>
      <c r="G11" s="15">
        <f>IFERROR(__xludf.DUMMYFUNCTION("""COMPUTED_VALUE"""),0.0)</f>
        <v>0</v>
      </c>
      <c r="H11" s="15">
        <f>IFERROR(__xludf.DUMMYFUNCTION("""COMPUTED_VALUE"""),0.0)</f>
        <v>0</v>
      </c>
      <c r="I11" s="15">
        <f>IFERROR(__xludf.DUMMYFUNCTION("""COMPUTED_VALUE"""),27.2115)</f>
        <v>27.2115</v>
      </c>
      <c r="J11" s="15">
        <f>IFERROR(__xludf.DUMMYFUNCTION("""COMPUTED_VALUE"""),0.0)</f>
        <v>0</v>
      </c>
      <c r="K11" s="15">
        <f>IFERROR(__xludf.DUMMYFUNCTION("""COMPUTED_VALUE"""),0.0)</f>
        <v>0</v>
      </c>
      <c r="L11" s="14" t="b">
        <v>0</v>
      </c>
    </row>
    <row r="12">
      <c r="A12" s="14">
        <f>IFERROR(__xludf.DUMMYFUNCTION("""COMPUTED_VALUE"""),2.0265117E7)</f>
        <v>20265117</v>
      </c>
      <c r="B12" s="14" t="str">
        <f>IFERROR(__xludf.DUMMYFUNCTION("""COMPUTED_VALUE"""),"Keith Bowman")</f>
        <v>Keith Bowman</v>
      </c>
      <c r="C12" s="14" t="b">
        <f>IFERROR(__xludf.DUMMYFUNCTION("""COMPUTED_VALUE"""),FALSE)</f>
        <v>0</v>
      </c>
      <c r="D12" s="21" t="str">
        <f>IFERROR(__xludf.DUMMYFUNCTION("""COMPUTED_VALUE"""),"")</f>
        <v/>
      </c>
      <c r="E12" s="15">
        <f>IFERROR(__xludf.DUMMYFUNCTION("""COMPUTED_VALUE"""),801.05)</f>
        <v>801.05</v>
      </c>
      <c r="F12" s="15">
        <f>IFERROR(__xludf.DUMMYFUNCTION("""COMPUTED_VALUE"""),0.0)</f>
        <v>0</v>
      </c>
      <c r="G12" s="15">
        <f>IFERROR(__xludf.DUMMYFUNCTION("""COMPUTED_VALUE"""),0.0)</f>
        <v>0</v>
      </c>
      <c r="H12" s="15">
        <f>IFERROR(__xludf.DUMMYFUNCTION("""COMPUTED_VALUE"""),0.0)</f>
        <v>0</v>
      </c>
      <c r="I12" s="15">
        <f>IFERROR(__xludf.DUMMYFUNCTION("""COMPUTED_VALUE"""),40.0525)</f>
        <v>40.0525</v>
      </c>
      <c r="J12" s="15">
        <f>IFERROR(__xludf.DUMMYFUNCTION("""COMPUTED_VALUE"""),0.0)</f>
        <v>0</v>
      </c>
      <c r="K12" s="15">
        <f>IFERROR(__xludf.DUMMYFUNCTION("""COMPUTED_VALUE"""),0.0)</f>
        <v>0</v>
      </c>
      <c r="L12" s="14" t="b">
        <v>0</v>
      </c>
    </row>
    <row r="13">
      <c r="A13" s="14">
        <f>IFERROR(__xludf.DUMMYFUNCTION("""COMPUTED_VALUE"""),2.026512E7)</f>
        <v>20265120</v>
      </c>
      <c r="B13" s="14" t="str">
        <f>IFERROR(__xludf.DUMMYFUNCTION("""COMPUTED_VALUE"""),"Doug Murray")</f>
        <v>Doug Murray</v>
      </c>
      <c r="C13" s="14" t="b">
        <f>IFERROR(__xludf.DUMMYFUNCTION("""COMPUTED_VALUE"""),FALSE)</f>
        <v>0</v>
      </c>
      <c r="D13" s="21" t="str">
        <f>IFERROR(__xludf.DUMMYFUNCTION("""COMPUTED_VALUE"""),"")</f>
        <v/>
      </c>
      <c r="E13" s="15">
        <f>IFERROR(__xludf.DUMMYFUNCTION("""COMPUTED_VALUE"""),770.36)</f>
        <v>770.36</v>
      </c>
      <c r="F13" s="15">
        <f>IFERROR(__xludf.DUMMYFUNCTION("""COMPUTED_VALUE"""),0.0)</f>
        <v>0</v>
      </c>
      <c r="G13" s="15">
        <f>IFERROR(__xludf.DUMMYFUNCTION("""COMPUTED_VALUE"""),0.0)</f>
        <v>0</v>
      </c>
      <c r="H13" s="15">
        <f>IFERROR(__xludf.DUMMYFUNCTION("""COMPUTED_VALUE"""),0.0)</f>
        <v>0</v>
      </c>
      <c r="I13" s="15">
        <f>IFERROR(__xludf.DUMMYFUNCTION("""COMPUTED_VALUE"""),38.518)</f>
        <v>38.518</v>
      </c>
      <c r="J13" s="15">
        <f>IFERROR(__xludf.DUMMYFUNCTION("""COMPUTED_VALUE"""),0.0)</f>
        <v>0</v>
      </c>
      <c r="K13" s="15">
        <f>IFERROR(__xludf.DUMMYFUNCTION("""COMPUTED_VALUE"""),0.0)</f>
        <v>0</v>
      </c>
      <c r="L13" s="14" t="b">
        <v>0</v>
      </c>
    </row>
    <row r="14">
      <c r="A14" s="14">
        <f>IFERROR(__xludf.DUMMYFUNCTION("""COMPUTED_VALUE"""),2.0265121E7)</f>
        <v>20265121</v>
      </c>
      <c r="B14" s="14" t="str">
        <f>IFERROR(__xludf.DUMMYFUNCTION("""COMPUTED_VALUE"""),"Skip Murray")</f>
        <v>Skip Murray</v>
      </c>
      <c r="C14" s="14" t="b">
        <f>IFERROR(__xludf.DUMMYFUNCTION("""COMPUTED_VALUE"""),FALSE)</f>
        <v>0</v>
      </c>
      <c r="D14" s="21" t="str">
        <f>IFERROR(__xludf.DUMMYFUNCTION("""COMPUTED_VALUE"""),"")</f>
        <v/>
      </c>
      <c r="E14" s="15">
        <f>IFERROR(__xludf.DUMMYFUNCTION("""COMPUTED_VALUE"""),870.36)</f>
        <v>870.36</v>
      </c>
      <c r="F14" s="15">
        <f>IFERROR(__xludf.DUMMYFUNCTION("""COMPUTED_VALUE"""),0.0)</f>
        <v>0</v>
      </c>
      <c r="G14" s="15">
        <f>IFERROR(__xludf.DUMMYFUNCTION("""COMPUTED_VALUE"""),0.0)</f>
        <v>0</v>
      </c>
      <c r="H14" s="15">
        <f>IFERROR(__xludf.DUMMYFUNCTION("""COMPUTED_VALUE"""),0.0)</f>
        <v>0</v>
      </c>
      <c r="I14" s="15">
        <f>IFERROR(__xludf.DUMMYFUNCTION("""COMPUTED_VALUE"""),43.518)</f>
        <v>43.518</v>
      </c>
      <c r="J14" s="15">
        <f>IFERROR(__xludf.DUMMYFUNCTION("""COMPUTED_VALUE"""),0.0)</f>
        <v>0</v>
      </c>
      <c r="K14" s="15">
        <f>IFERROR(__xludf.DUMMYFUNCTION("""COMPUTED_VALUE"""),0.0)</f>
        <v>0</v>
      </c>
      <c r="L14" s="14" t="b">
        <v>0</v>
      </c>
    </row>
    <row r="15">
      <c r="A15" s="14">
        <f>IFERROR(__xludf.DUMMYFUNCTION("""COMPUTED_VALUE"""),2.0265122E7)</f>
        <v>20265122</v>
      </c>
      <c r="B15" s="14" t="str">
        <f>IFERROR(__xludf.DUMMYFUNCTION("""COMPUTED_VALUE"""),"Chris White rental")</f>
        <v>Chris White rental</v>
      </c>
      <c r="C15" s="14" t="b">
        <f>IFERROR(__xludf.DUMMYFUNCTION("""COMPUTED_VALUE"""),FALSE)</f>
        <v>0</v>
      </c>
      <c r="D15" s="21" t="str">
        <f>IFERROR(__xludf.DUMMYFUNCTION("""COMPUTED_VALUE"""),"")</f>
        <v/>
      </c>
      <c r="E15" s="15">
        <f>IFERROR(__xludf.DUMMYFUNCTION("""COMPUTED_VALUE"""),551.05)</f>
        <v>551.05</v>
      </c>
      <c r="F15" s="15">
        <f>IFERROR(__xludf.DUMMYFUNCTION("""COMPUTED_VALUE"""),0.0)</f>
        <v>0</v>
      </c>
      <c r="G15" s="15">
        <f>IFERROR(__xludf.DUMMYFUNCTION("""COMPUTED_VALUE"""),0.0)</f>
        <v>0</v>
      </c>
      <c r="H15" s="15">
        <f>IFERROR(__xludf.DUMMYFUNCTION("""COMPUTED_VALUE"""),0.0)</f>
        <v>0</v>
      </c>
      <c r="I15" s="15">
        <f>IFERROR(__xludf.DUMMYFUNCTION("""COMPUTED_VALUE"""),27.5525)</f>
        <v>27.5525</v>
      </c>
      <c r="J15" s="15">
        <f>IFERROR(__xludf.DUMMYFUNCTION("""COMPUTED_VALUE"""),0.0)</f>
        <v>0</v>
      </c>
      <c r="K15" s="15">
        <f>IFERROR(__xludf.DUMMYFUNCTION("""COMPUTED_VALUE"""),0.0)</f>
        <v>0</v>
      </c>
      <c r="L15" s="14" t="b">
        <v>0</v>
      </c>
    </row>
    <row r="16">
      <c r="A16" s="14">
        <f>IFERROR(__xludf.DUMMYFUNCTION("""COMPUTED_VALUE"""),2.0265124E7)</f>
        <v>20265124</v>
      </c>
      <c r="B16" s="14" t="str">
        <f>IFERROR(__xludf.DUMMYFUNCTION("""COMPUTED_VALUE"""),"INS - Michael Besecker")</f>
        <v>INS - Michael Besecker</v>
      </c>
      <c r="C16" s="14" t="b">
        <f>IFERROR(__xludf.DUMMYFUNCTION("""COMPUTED_VALUE"""),FALSE)</f>
        <v>0</v>
      </c>
      <c r="D16" s="21" t="str">
        <f>IFERROR(__xludf.DUMMYFUNCTION("""COMPUTED_VALUE"""),"")</f>
        <v/>
      </c>
      <c r="E16" s="15">
        <f>IFERROR(__xludf.DUMMYFUNCTION("""COMPUTED_VALUE"""),22597.55)</f>
        <v>22597.55</v>
      </c>
      <c r="F16" s="15">
        <f>IFERROR(__xludf.DUMMYFUNCTION("""COMPUTED_VALUE"""),0.0)</f>
        <v>0</v>
      </c>
      <c r="G16" s="15">
        <f>IFERROR(__xludf.DUMMYFUNCTION("""COMPUTED_VALUE"""),0.0)</f>
        <v>0</v>
      </c>
      <c r="H16" s="15">
        <f>IFERROR(__xludf.DUMMYFUNCTION("""COMPUTED_VALUE"""),0.0)</f>
        <v>0</v>
      </c>
      <c r="I16" s="15">
        <f>IFERROR(__xludf.DUMMYFUNCTION("""COMPUTED_VALUE"""),1129.8775)</f>
        <v>1129.8775</v>
      </c>
      <c r="J16" s="15">
        <f>IFERROR(__xludf.DUMMYFUNCTION("""COMPUTED_VALUE"""),0.0)</f>
        <v>0</v>
      </c>
      <c r="K16" s="15">
        <f>IFERROR(__xludf.DUMMYFUNCTION("""COMPUTED_VALUE"""),0.0)</f>
        <v>0</v>
      </c>
      <c r="L16" s="14" t="b">
        <v>0</v>
      </c>
    </row>
    <row r="17">
      <c r="A17" s="14" t="str">
        <f>IFERROR(__xludf.DUMMYFUNCTION("""COMPUTED_VALUE"""),"Grand Total")</f>
        <v>Grand Total</v>
      </c>
      <c r="B17" s="14"/>
      <c r="C17" s="14"/>
      <c r="D17" s="14"/>
      <c r="E17" s="15">
        <f>IFERROR(__xludf.DUMMYFUNCTION("""COMPUTED_VALUE"""),101724.22)</f>
        <v>101724.22</v>
      </c>
      <c r="F17" s="15">
        <f>IFERROR(__xludf.DUMMYFUNCTION("""COMPUTED_VALUE"""),0.0)</f>
        <v>0</v>
      </c>
      <c r="G17" s="15">
        <f>IFERROR(__xludf.DUMMYFUNCTION("""COMPUTED_VALUE"""),26536.58)</f>
        <v>26536.58</v>
      </c>
      <c r="H17" s="15">
        <f>IFERROR(__xludf.DUMMYFUNCTION("""COMPUTED_VALUE"""),506.25)</f>
        <v>506.25</v>
      </c>
      <c r="I17" s="15">
        <f>IFERROR(__xludf.DUMMYFUNCTION("""COMPUTED_VALUE"""),5086.211)</f>
        <v>5086.211</v>
      </c>
      <c r="J17" s="15">
        <f>IFERROR(__xludf.DUMMYFUNCTION("""COMPUTED_VALUE"""),0.0)</f>
        <v>0</v>
      </c>
      <c r="K17" s="15">
        <f>IFERROR(__xludf.DUMMYFUNCTION("""COMPUTED_VALUE"""),0.0)</f>
        <v>0</v>
      </c>
      <c r="L17" s="14" t="b">
        <v>0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5">
        <f>IFERROR(__xludf.DUMMYFUNCTION("""COMPUTED_VALUE"""),0.0)</f>
        <v>0</v>
      </c>
      <c r="K18" s="15">
        <f>IFERROR(__xludf.DUMMYFUNCTION("""COMPUTED_VALUE"""),0.0)</f>
        <v>0</v>
      </c>
      <c r="L18" s="14" t="b">
        <v>0</v>
      </c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5">
        <f>IFERROR(__xludf.DUMMYFUNCTION("""COMPUTED_VALUE"""),0.0)</f>
        <v>0</v>
      </c>
      <c r="K19" s="15">
        <f>IFERROR(__xludf.DUMMYFUNCTION("""COMPUTED_VALUE"""),0.0)</f>
        <v>0</v>
      </c>
      <c r="L19" s="14" t="b">
        <v>0</v>
      </c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5">
        <f>IFERROR(__xludf.DUMMYFUNCTION("""COMPUTED_VALUE"""),0.0)</f>
        <v>0</v>
      </c>
      <c r="K20" s="15">
        <f>IFERROR(__xludf.DUMMYFUNCTION("""COMPUTED_VALUE"""),0.0)</f>
        <v>0</v>
      </c>
      <c r="L20" s="14" t="b">
        <v>0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5">
        <f>IFERROR(__xludf.DUMMYFUNCTION("""COMPUTED_VALUE"""),0.0)</f>
        <v>0</v>
      </c>
      <c r="K21" s="15">
        <f>IFERROR(__xludf.DUMMYFUNCTION("""COMPUTED_VALUE"""),0.0)</f>
        <v>0</v>
      </c>
      <c r="L21" s="14" t="b">
        <v>0</v>
      </c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5">
        <f>IFERROR(__xludf.DUMMYFUNCTION("""COMPUTED_VALUE"""),0.0)</f>
        <v>0</v>
      </c>
      <c r="K22" s="15">
        <f>IFERROR(__xludf.DUMMYFUNCTION("""COMPUTED_VALUE"""),0.0)</f>
        <v>0</v>
      </c>
      <c r="L22" s="14" t="b">
        <v>0</v>
      </c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5">
        <f>IFERROR(__xludf.DUMMYFUNCTION("""COMPUTED_VALUE"""),0.0)</f>
        <v>0</v>
      </c>
      <c r="K23" s="15">
        <f>IFERROR(__xludf.DUMMYFUNCTION("""COMPUTED_VALUE"""),0.0)</f>
        <v>0</v>
      </c>
      <c r="L23" s="14" t="b">
        <v>0</v>
      </c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5">
        <f>IFERROR(__xludf.DUMMYFUNCTION("""COMPUTED_VALUE"""),0.0)</f>
        <v>0</v>
      </c>
      <c r="K24" s="15">
        <f>IFERROR(__xludf.DUMMYFUNCTION("""COMPUTED_VALUE"""),0.0)</f>
        <v>0</v>
      </c>
      <c r="L24" s="14" t="b">
        <v>0</v>
      </c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5">
        <f>IFERROR(__xludf.DUMMYFUNCTION("""COMPUTED_VALUE"""),0.0)</f>
        <v>0</v>
      </c>
      <c r="K25" s="15">
        <f>IFERROR(__xludf.DUMMYFUNCTION("""COMPUTED_VALUE"""),0.0)</f>
        <v>0</v>
      </c>
      <c r="L25" s="14" t="b">
        <v>0</v>
      </c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5">
        <f>IFERROR(__xludf.DUMMYFUNCTION("""COMPUTED_VALUE"""),0.0)</f>
        <v>0</v>
      </c>
      <c r="K26" s="15">
        <f>IFERROR(__xludf.DUMMYFUNCTION("""COMPUTED_VALUE"""),0.0)</f>
        <v>0</v>
      </c>
      <c r="L26" s="14" t="b">
        <v>0</v>
      </c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5">
        <f>IFERROR(__xludf.DUMMYFUNCTION("""COMPUTED_VALUE"""),0.0)</f>
        <v>0</v>
      </c>
      <c r="K27" s="15">
        <f>IFERROR(__xludf.DUMMYFUNCTION("""COMPUTED_VALUE"""),0.0)</f>
        <v>0</v>
      </c>
      <c r="L27" s="14" t="b">
        <v>0</v>
      </c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5">
        <f>IFERROR(__xludf.DUMMYFUNCTION("""COMPUTED_VALUE"""),0.0)</f>
        <v>0</v>
      </c>
      <c r="K28" s="15">
        <f>IFERROR(__xludf.DUMMYFUNCTION("""COMPUTED_VALUE"""),0.0)</f>
        <v>0</v>
      </c>
      <c r="L28" s="14" t="b">
        <v>0</v>
      </c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5">
        <f>IFERROR(__xludf.DUMMYFUNCTION("""COMPUTED_VALUE"""),0.0)</f>
        <v>0</v>
      </c>
      <c r="K29" s="15">
        <f>IFERROR(__xludf.DUMMYFUNCTION("""COMPUTED_VALUE"""),0.0)</f>
        <v>0</v>
      </c>
      <c r="L29" s="14" t="b">
        <v>0</v>
      </c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5">
        <f>IFERROR(__xludf.DUMMYFUNCTION("""COMPUTED_VALUE"""),0.0)</f>
        <v>0</v>
      </c>
      <c r="K30" s="15">
        <f>IFERROR(__xludf.DUMMYFUNCTION("""COMPUTED_VALUE"""),0.0)</f>
        <v>0</v>
      </c>
      <c r="L30" s="14" t="b">
        <v>0</v>
      </c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5">
        <f>IFERROR(__xludf.DUMMYFUNCTION("""COMPUTED_VALUE"""),0.0)</f>
        <v>0</v>
      </c>
      <c r="K31" s="15">
        <f>IFERROR(__xludf.DUMMYFUNCTION("""COMPUTED_VALUE"""),0.0)</f>
        <v>0</v>
      </c>
      <c r="L31" s="14" t="b">
        <v>0</v>
      </c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5">
        <f>IFERROR(__xludf.DUMMYFUNCTION("""COMPUTED_VALUE"""),0.0)</f>
        <v>0</v>
      </c>
      <c r="K32" s="15">
        <f>IFERROR(__xludf.DUMMYFUNCTION("""COMPUTED_VALUE"""),0.0)</f>
        <v>0</v>
      </c>
      <c r="L32" s="14" t="b">
        <v>0</v>
      </c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5">
        <f>IFERROR(__xludf.DUMMYFUNCTION("""COMPUTED_VALUE"""),0.0)</f>
        <v>0</v>
      </c>
      <c r="K33" s="15">
        <f>IFERROR(__xludf.DUMMYFUNCTION("""COMPUTED_VALUE"""),0.0)</f>
        <v>0</v>
      </c>
      <c r="L33" s="14" t="b">
        <v>0</v>
      </c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5">
        <f>IFERROR(__xludf.DUMMYFUNCTION("""COMPUTED_VALUE"""),0.0)</f>
        <v>0</v>
      </c>
      <c r="K34" s="15">
        <f>IFERROR(__xludf.DUMMYFUNCTION("""COMPUTED_VALUE"""),0.0)</f>
        <v>0</v>
      </c>
      <c r="L34" s="14" t="b">
        <v>0</v>
      </c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5">
        <f>IFERROR(__xludf.DUMMYFUNCTION("""COMPUTED_VALUE"""),0.0)</f>
        <v>0</v>
      </c>
      <c r="K35" s="15">
        <f>IFERROR(__xludf.DUMMYFUNCTION("""COMPUTED_VALUE"""),0.0)</f>
        <v>0</v>
      </c>
      <c r="L35" s="14" t="b">
        <v>0</v>
      </c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5">
        <f>IFERROR(__xludf.DUMMYFUNCTION("""COMPUTED_VALUE"""),0.0)</f>
        <v>0</v>
      </c>
      <c r="K36" s="15">
        <f>IFERROR(__xludf.DUMMYFUNCTION("""COMPUTED_VALUE"""),0.0)</f>
        <v>0</v>
      </c>
      <c r="L36" s="14" t="b">
        <v>0</v>
      </c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5">
        <f>IFERROR(__xludf.DUMMYFUNCTION("""COMPUTED_VALUE"""),0.0)</f>
        <v>0</v>
      </c>
      <c r="K37" s="15">
        <f>IFERROR(__xludf.DUMMYFUNCTION("""COMPUTED_VALUE"""),0.0)</f>
        <v>0</v>
      </c>
      <c r="L37" s="14" t="b">
        <v>0</v>
      </c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5">
        <f>IFERROR(__xludf.DUMMYFUNCTION("""COMPUTED_VALUE"""),0.0)</f>
        <v>0</v>
      </c>
      <c r="K38" s="15">
        <f>IFERROR(__xludf.DUMMYFUNCTION("""COMPUTED_VALUE"""),0.0)</f>
        <v>0</v>
      </c>
      <c r="L38" s="14" t="b">
        <v>0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5">
        <f>IFERROR(__xludf.DUMMYFUNCTION("""COMPUTED_VALUE"""),0.0)</f>
        <v>0</v>
      </c>
      <c r="K39" s="15">
        <f>IFERROR(__xludf.DUMMYFUNCTION("""COMPUTED_VALUE"""),0.0)</f>
        <v>0</v>
      </c>
      <c r="L39" s="14" t="b">
        <v>0</v>
      </c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5">
        <f>IFERROR(__xludf.DUMMYFUNCTION("""COMPUTED_VALUE"""),0.0)</f>
        <v>0</v>
      </c>
      <c r="K40" s="15">
        <f>IFERROR(__xludf.DUMMYFUNCTION("""COMPUTED_VALUE"""),0.0)</f>
        <v>0</v>
      </c>
      <c r="L40" s="14" t="b">
        <v>0</v>
      </c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5">
        <f>IFERROR(__xludf.DUMMYFUNCTION("""COMPUTED_VALUE"""),0.0)</f>
        <v>0</v>
      </c>
      <c r="K41" s="15">
        <f>IFERROR(__xludf.DUMMYFUNCTION("""COMPUTED_VALUE"""),0.0)</f>
        <v>0</v>
      </c>
      <c r="L41" s="14" t="b">
        <v>0</v>
      </c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5">
        <f>IFERROR(__xludf.DUMMYFUNCTION("""COMPUTED_VALUE"""),0.0)</f>
        <v>0</v>
      </c>
      <c r="K42" s="15">
        <f>IFERROR(__xludf.DUMMYFUNCTION("""COMPUTED_VALUE"""),0.0)</f>
        <v>0</v>
      </c>
      <c r="L42" s="14" t="b">
        <v>0</v>
      </c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5">
        <f>IFERROR(__xludf.DUMMYFUNCTION("""COMPUTED_VALUE"""),0.0)</f>
        <v>0</v>
      </c>
      <c r="K43" s="15">
        <f>IFERROR(__xludf.DUMMYFUNCTION("""COMPUTED_VALUE"""),0.0)</f>
        <v>0</v>
      </c>
      <c r="L43" s="14" t="b">
        <v>0</v>
      </c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5">
        <f>IFERROR(__xludf.DUMMYFUNCTION("""COMPUTED_VALUE"""),0.0)</f>
        <v>0</v>
      </c>
      <c r="K44" s="15">
        <f>IFERROR(__xludf.DUMMYFUNCTION("""COMPUTED_VALUE"""),0.0)</f>
        <v>0</v>
      </c>
      <c r="L44" s="14" t="b">
        <v>0</v>
      </c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5">
        <f>IFERROR(__xludf.DUMMYFUNCTION("""COMPUTED_VALUE"""),0.0)</f>
        <v>0</v>
      </c>
      <c r="K45" s="15">
        <f>IFERROR(__xludf.DUMMYFUNCTION("""COMPUTED_VALUE"""),0.0)</f>
        <v>0</v>
      </c>
      <c r="L45" s="14" t="b">
        <v>0</v>
      </c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5">
        <f>IFERROR(__xludf.DUMMYFUNCTION("""COMPUTED_VALUE"""),0.0)</f>
        <v>0</v>
      </c>
      <c r="K46" s="15">
        <f>IFERROR(__xludf.DUMMYFUNCTION("""COMPUTED_VALUE"""),0.0)</f>
        <v>0</v>
      </c>
      <c r="L46" s="14" t="b">
        <v>0</v>
      </c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5">
        <f>IFERROR(__xludf.DUMMYFUNCTION("""COMPUTED_VALUE"""),0.0)</f>
        <v>0</v>
      </c>
      <c r="K47" s="15">
        <f>IFERROR(__xludf.DUMMYFUNCTION("""COMPUTED_VALUE"""),0.0)</f>
        <v>0</v>
      </c>
      <c r="L47" s="14" t="b">
        <v>0</v>
      </c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5">
        <f>IFERROR(__xludf.DUMMYFUNCTION("""COMPUTED_VALUE"""),0.0)</f>
        <v>0</v>
      </c>
      <c r="K48" s="15">
        <f>IFERROR(__xludf.DUMMYFUNCTION("""COMPUTED_VALUE"""),0.0)</f>
        <v>0</v>
      </c>
      <c r="L48" s="14" t="b">
        <v>0</v>
      </c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5">
        <f>IFERROR(__xludf.DUMMYFUNCTION("""COMPUTED_VALUE"""),0.0)</f>
        <v>0</v>
      </c>
      <c r="K49" s="15">
        <f>IFERROR(__xludf.DUMMYFUNCTION("""COMPUTED_VALUE"""),0.0)</f>
        <v>0</v>
      </c>
      <c r="L49" s="14" t="b">
        <v>0</v>
      </c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5">
        <f>IFERROR(__xludf.DUMMYFUNCTION("""COMPUTED_VALUE"""),0.0)</f>
        <v>0</v>
      </c>
      <c r="K50" s="15">
        <f>IFERROR(__xludf.DUMMYFUNCTION("""COMPUTED_VALUE"""),0.0)</f>
        <v>0</v>
      </c>
      <c r="L50" s="14" t="b">
        <v>0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5">
        <f>IFERROR(__xludf.DUMMYFUNCTION("""COMPUTED_VALUE"""),0.0)</f>
        <v>0</v>
      </c>
      <c r="K51" s="15">
        <f>IFERROR(__xludf.DUMMYFUNCTION("""COMPUTED_VALUE"""),0.0)</f>
        <v>0</v>
      </c>
      <c r="L51" s="14" t="b">
        <v>0</v>
      </c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5">
        <f>IFERROR(__xludf.DUMMYFUNCTION("""COMPUTED_VALUE"""),0.0)</f>
        <v>0</v>
      </c>
      <c r="K52" s="15">
        <f>IFERROR(__xludf.DUMMYFUNCTION("""COMPUTED_VALUE"""),0.0)</f>
        <v>0</v>
      </c>
      <c r="L52" s="14" t="b">
        <v>0</v>
      </c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5">
        <f>IFERROR(__xludf.DUMMYFUNCTION("""COMPUTED_VALUE"""),0.0)</f>
        <v>0</v>
      </c>
      <c r="K53" s="15">
        <f>IFERROR(__xludf.DUMMYFUNCTION("""COMPUTED_VALUE"""),0.0)</f>
        <v>0</v>
      </c>
      <c r="L53" s="14" t="b">
        <v>0</v>
      </c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5">
        <f>IFERROR(__xludf.DUMMYFUNCTION("""COMPUTED_VALUE"""),0.0)</f>
        <v>0</v>
      </c>
      <c r="K54" s="15">
        <f>IFERROR(__xludf.DUMMYFUNCTION("""COMPUTED_VALUE"""),0.0)</f>
        <v>0</v>
      </c>
      <c r="L54" s="14" t="b">
        <v>0</v>
      </c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5">
        <f>IFERROR(__xludf.DUMMYFUNCTION("""COMPUTED_VALUE"""),0.0)</f>
        <v>0</v>
      </c>
      <c r="K55" s="15">
        <f>IFERROR(__xludf.DUMMYFUNCTION("""COMPUTED_VALUE"""),0.0)</f>
        <v>0</v>
      </c>
      <c r="L55" s="14" t="b">
        <v>0</v>
      </c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5">
        <f>IFERROR(__xludf.DUMMYFUNCTION("""COMPUTED_VALUE"""),0.0)</f>
        <v>0</v>
      </c>
      <c r="K56" s="15">
        <f>IFERROR(__xludf.DUMMYFUNCTION("""COMPUTED_VALUE"""),0.0)</f>
        <v>0</v>
      </c>
      <c r="L56" s="14" t="b">
        <v>0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5">
        <f>IFERROR(__xludf.DUMMYFUNCTION("""COMPUTED_VALUE"""),0.0)</f>
        <v>0</v>
      </c>
      <c r="K57" s="15">
        <f>IFERROR(__xludf.DUMMYFUNCTION("""COMPUTED_VALUE"""),0.0)</f>
        <v>0</v>
      </c>
      <c r="L57" s="14" t="b">
        <v>0</v>
      </c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5">
        <f>IFERROR(__xludf.DUMMYFUNCTION("""COMPUTED_VALUE"""),0.0)</f>
        <v>0</v>
      </c>
      <c r="K58" s="15">
        <f>IFERROR(__xludf.DUMMYFUNCTION("""COMPUTED_VALUE"""),0.0)</f>
        <v>0</v>
      </c>
      <c r="L58" s="14" t="b">
        <v>0</v>
      </c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5">
        <f>IFERROR(__xludf.DUMMYFUNCTION("""COMPUTED_VALUE"""),0.0)</f>
        <v>0</v>
      </c>
      <c r="K59" s="15">
        <f>IFERROR(__xludf.DUMMYFUNCTION("""COMPUTED_VALUE"""),0.0)</f>
        <v>0</v>
      </c>
      <c r="L59" s="14" t="b">
        <v>0</v>
      </c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5">
        <f>IFERROR(__xludf.DUMMYFUNCTION("""COMPUTED_VALUE"""),0.0)</f>
        <v>0</v>
      </c>
      <c r="K60" s="15">
        <f>IFERROR(__xludf.DUMMYFUNCTION("""COMPUTED_VALUE"""),0.0)</f>
        <v>0</v>
      </c>
      <c r="L60" s="14" t="b"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5">
        <f>IFERROR(__xludf.DUMMYFUNCTION("""COMPUTED_VALUE"""),0.0)</f>
        <v>0</v>
      </c>
      <c r="K61" s="15">
        <f>IFERROR(__xludf.DUMMYFUNCTION("""COMPUTED_VALUE"""),0.0)</f>
        <v>0</v>
      </c>
      <c r="L61" s="14" t="b"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5">
        <f>IFERROR(__xludf.DUMMYFUNCTION("""COMPUTED_VALUE"""),0.0)</f>
        <v>0</v>
      </c>
      <c r="K62" s="15">
        <f>IFERROR(__xludf.DUMMYFUNCTION("""COMPUTED_VALUE"""),0.0)</f>
        <v>0</v>
      </c>
      <c r="L62" s="14" t="b"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5">
        <f>IFERROR(__xludf.DUMMYFUNCTION("""COMPUTED_VALUE"""),0.0)</f>
        <v>0</v>
      </c>
      <c r="K63" s="15">
        <f>IFERROR(__xludf.DUMMYFUNCTION("""COMPUTED_VALUE"""),0.0)</f>
        <v>0</v>
      </c>
      <c r="L63" s="14" t="b"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5">
        <f>IFERROR(__xludf.DUMMYFUNCTION("""COMPUTED_VALUE"""),0.0)</f>
        <v>0</v>
      </c>
      <c r="K64" s="15">
        <f>IFERROR(__xludf.DUMMYFUNCTION("""COMPUTED_VALUE"""),0.0)</f>
        <v>0</v>
      </c>
      <c r="L64" s="14" t="b"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5">
        <f>IFERROR(__xludf.DUMMYFUNCTION("""COMPUTED_VALUE"""),0.0)</f>
        <v>0</v>
      </c>
      <c r="K65" s="15">
        <f>IFERROR(__xludf.DUMMYFUNCTION("""COMPUTED_VALUE"""),0.0)</f>
        <v>0</v>
      </c>
      <c r="L65" s="14" t="b"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5">
        <f>IFERROR(__xludf.DUMMYFUNCTION("""COMPUTED_VALUE"""),0.0)</f>
        <v>0</v>
      </c>
      <c r="K66" s="15">
        <f>IFERROR(__xludf.DUMMYFUNCTION("""COMPUTED_VALUE"""),0.0)</f>
        <v>0</v>
      </c>
      <c r="L66" s="14" t="b"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5">
        <f>IFERROR(__xludf.DUMMYFUNCTION("""COMPUTED_VALUE"""),0.0)</f>
        <v>0</v>
      </c>
      <c r="K67" s="15">
        <f>IFERROR(__xludf.DUMMYFUNCTION("""COMPUTED_VALUE"""),0.0)</f>
        <v>0</v>
      </c>
      <c r="L67" s="14" t="b"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5">
        <f>IFERROR(__xludf.DUMMYFUNCTION("""COMPUTED_VALUE"""),0.0)</f>
        <v>0</v>
      </c>
      <c r="K68" s="15">
        <f>IFERROR(__xludf.DUMMYFUNCTION("""COMPUTED_VALUE"""),0.0)</f>
        <v>0</v>
      </c>
      <c r="L68" s="14" t="b"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5">
        <f>IFERROR(__xludf.DUMMYFUNCTION("""COMPUTED_VALUE"""),0.0)</f>
        <v>0</v>
      </c>
      <c r="K69" s="15">
        <f>IFERROR(__xludf.DUMMYFUNCTION("""COMPUTED_VALUE"""),0.0)</f>
        <v>0</v>
      </c>
      <c r="L69" s="14" t="b"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5">
        <f>IFERROR(__xludf.DUMMYFUNCTION("""COMPUTED_VALUE"""),0.0)</f>
        <v>0</v>
      </c>
      <c r="K70" s="15">
        <f>IFERROR(__xludf.DUMMYFUNCTION("""COMPUTED_VALUE"""),0.0)</f>
        <v>0</v>
      </c>
      <c r="L70" s="14" t="b"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5">
        <f>IFERROR(__xludf.DUMMYFUNCTION("""COMPUTED_VALUE"""),0.0)</f>
        <v>0</v>
      </c>
      <c r="K71" s="15">
        <f>IFERROR(__xludf.DUMMYFUNCTION("""COMPUTED_VALUE"""),0.0)</f>
        <v>0</v>
      </c>
      <c r="L71" s="14" t="b"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5">
        <f>IFERROR(__xludf.DUMMYFUNCTION("""COMPUTED_VALUE"""),0.0)</f>
        <v>0</v>
      </c>
      <c r="K72" s="15">
        <f>IFERROR(__xludf.DUMMYFUNCTION("""COMPUTED_VALUE"""),0.0)</f>
        <v>0</v>
      </c>
      <c r="L72" s="14" t="b"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5">
        <f>IFERROR(__xludf.DUMMYFUNCTION("""COMPUTED_VALUE"""),0.0)</f>
        <v>0</v>
      </c>
      <c r="K73" s="15">
        <f>IFERROR(__xludf.DUMMYFUNCTION("""COMPUTED_VALUE"""),0.0)</f>
        <v>0</v>
      </c>
      <c r="L73" s="14" t="b"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5">
        <f>IFERROR(__xludf.DUMMYFUNCTION("""COMPUTED_VALUE"""),0.0)</f>
        <v>0</v>
      </c>
      <c r="K74" s="15">
        <f>IFERROR(__xludf.DUMMYFUNCTION("""COMPUTED_VALUE"""),0.0)</f>
        <v>0</v>
      </c>
      <c r="L74" s="14" t="b"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5">
        <f>IFERROR(__xludf.DUMMYFUNCTION("""COMPUTED_VALUE"""),0.0)</f>
        <v>0</v>
      </c>
      <c r="K75" s="15">
        <f>IFERROR(__xludf.DUMMYFUNCTION("""COMPUTED_VALUE"""),0.0)</f>
        <v>0</v>
      </c>
      <c r="L75" s="14" t="b"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5">
        <f>IFERROR(__xludf.DUMMYFUNCTION("""COMPUTED_VALUE"""),0.0)</f>
        <v>0</v>
      </c>
      <c r="K76" s="15">
        <f>IFERROR(__xludf.DUMMYFUNCTION("""COMPUTED_VALUE"""),0.0)</f>
        <v>0</v>
      </c>
      <c r="L76" s="14" t="b"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5">
        <f>IFERROR(__xludf.DUMMYFUNCTION("""COMPUTED_VALUE"""),0.0)</f>
        <v>0</v>
      </c>
      <c r="K77" s="15">
        <f>IFERROR(__xludf.DUMMYFUNCTION("""COMPUTED_VALUE"""),0.0)</f>
        <v>0</v>
      </c>
      <c r="L77" s="14" t="b"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5">
        <f>IFERROR(__xludf.DUMMYFUNCTION("""COMPUTED_VALUE"""),0.0)</f>
        <v>0</v>
      </c>
      <c r="K78" s="15">
        <f>IFERROR(__xludf.DUMMYFUNCTION("""COMPUTED_VALUE"""),0.0)</f>
        <v>0</v>
      </c>
      <c r="L78" s="14" t="b"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5">
        <f>IFERROR(__xludf.DUMMYFUNCTION("""COMPUTED_VALUE"""),0.0)</f>
        <v>0</v>
      </c>
      <c r="K79" s="15">
        <f>IFERROR(__xludf.DUMMYFUNCTION("""COMPUTED_VALUE"""),0.0)</f>
        <v>0</v>
      </c>
      <c r="L79" s="14" t="b"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5">
        <f>IFERROR(__xludf.DUMMYFUNCTION("""COMPUTED_VALUE"""),0.0)</f>
        <v>0</v>
      </c>
      <c r="K80" s="15">
        <f>IFERROR(__xludf.DUMMYFUNCTION("""COMPUTED_VALUE"""),0.0)</f>
        <v>0</v>
      </c>
      <c r="L80" s="14" t="b"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5">
        <f>IFERROR(__xludf.DUMMYFUNCTION("""COMPUTED_VALUE"""),0.0)</f>
        <v>0</v>
      </c>
      <c r="K81" s="15">
        <f>IFERROR(__xludf.DUMMYFUNCTION("""COMPUTED_VALUE"""),0.0)</f>
        <v>0</v>
      </c>
      <c r="L81" s="14" t="b"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5">
        <f>IFERROR(__xludf.DUMMYFUNCTION("""COMPUTED_VALUE"""),0.0)</f>
        <v>0</v>
      </c>
      <c r="K82" s="15">
        <f>IFERROR(__xludf.DUMMYFUNCTION("""COMPUTED_VALUE"""),0.0)</f>
        <v>0</v>
      </c>
      <c r="L82" s="14" t="b"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5">
        <f>IFERROR(__xludf.DUMMYFUNCTION("""COMPUTED_VALUE"""),0.0)</f>
        <v>0</v>
      </c>
      <c r="K83" s="15">
        <f>IFERROR(__xludf.DUMMYFUNCTION("""COMPUTED_VALUE"""),0.0)</f>
        <v>0</v>
      </c>
      <c r="L83" s="14" t="b"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5">
        <f>IFERROR(__xludf.DUMMYFUNCTION("""COMPUTED_VALUE"""),0.0)</f>
        <v>0</v>
      </c>
      <c r="K84" s="15">
        <f>IFERROR(__xludf.DUMMYFUNCTION("""COMPUTED_VALUE"""),0.0)</f>
        <v>0</v>
      </c>
      <c r="L84" s="14" t="b"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5">
        <f>IFERROR(__xludf.DUMMYFUNCTION("""COMPUTED_VALUE"""),0.0)</f>
        <v>0</v>
      </c>
      <c r="K85" s="15">
        <f>IFERROR(__xludf.DUMMYFUNCTION("""COMPUTED_VALUE"""),0.0)</f>
        <v>0</v>
      </c>
      <c r="L85" s="14" t="b"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5">
        <f>IFERROR(__xludf.DUMMYFUNCTION("""COMPUTED_VALUE"""),0.0)</f>
        <v>0</v>
      </c>
      <c r="K86" s="15">
        <f>IFERROR(__xludf.DUMMYFUNCTION("""COMPUTED_VALUE"""),0.0)</f>
        <v>0</v>
      </c>
      <c r="L86" s="14" t="b"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5">
        <f>IFERROR(__xludf.DUMMYFUNCTION("""COMPUTED_VALUE"""),0.0)</f>
        <v>0</v>
      </c>
      <c r="K87" s="15">
        <f>IFERROR(__xludf.DUMMYFUNCTION("""COMPUTED_VALUE"""),0.0)</f>
        <v>0</v>
      </c>
      <c r="L87" s="14" t="b"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5">
        <f>IFERROR(__xludf.DUMMYFUNCTION("""COMPUTED_VALUE"""),0.0)</f>
        <v>0</v>
      </c>
      <c r="K88" s="15">
        <f>IFERROR(__xludf.DUMMYFUNCTION("""COMPUTED_VALUE"""),0.0)</f>
        <v>0</v>
      </c>
      <c r="L88" s="14" t="b"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5">
        <f>IFERROR(__xludf.DUMMYFUNCTION("""COMPUTED_VALUE"""),0.0)</f>
        <v>0</v>
      </c>
      <c r="K89" s="15">
        <f>IFERROR(__xludf.DUMMYFUNCTION("""COMPUTED_VALUE"""),0.0)</f>
        <v>0</v>
      </c>
      <c r="L89" s="14" t="b"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5">
        <f>IFERROR(__xludf.DUMMYFUNCTION("""COMPUTED_VALUE"""),0.0)</f>
        <v>0</v>
      </c>
      <c r="K90" s="15">
        <f>IFERROR(__xludf.DUMMYFUNCTION("""COMPUTED_VALUE"""),0.0)</f>
        <v>0</v>
      </c>
      <c r="L90" s="14" t="b"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5">
        <f>IFERROR(__xludf.DUMMYFUNCTION("""COMPUTED_VALUE"""),0.0)</f>
        <v>0</v>
      </c>
      <c r="K91" s="15">
        <f>IFERROR(__xludf.DUMMYFUNCTION("""COMPUTED_VALUE"""),0.0)</f>
        <v>0</v>
      </c>
      <c r="L91" s="14" t="b"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5">
        <f>IFERROR(__xludf.DUMMYFUNCTION("""COMPUTED_VALUE"""),0.0)</f>
        <v>0</v>
      </c>
      <c r="K92" s="15">
        <f>IFERROR(__xludf.DUMMYFUNCTION("""COMPUTED_VALUE"""),0.0)</f>
        <v>0</v>
      </c>
      <c r="L92" s="14" t="b"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5">
        <f>IFERROR(__xludf.DUMMYFUNCTION("""COMPUTED_VALUE"""),0.0)</f>
        <v>0</v>
      </c>
      <c r="K93" s="15">
        <f>IFERROR(__xludf.DUMMYFUNCTION("""COMPUTED_VALUE"""),0.0)</f>
        <v>0</v>
      </c>
      <c r="L93" s="14" t="b"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5">
        <f>IFERROR(__xludf.DUMMYFUNCTION("""COMPUTED_VALUE"""),0.0)</f>
        <v>0</v>
      </c>
      <c r="K94" s="15">
        <f>IFERROR(__xludf.DUMMYFUNCTION("""COMPUTED_VALUE"""),0.0)</f>
        <v>0</v>
      </c>
      <c r="L94" s="14" t="b"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5">
        <f>IFERROR(__xludf.DUMMYFUNCTION("""COMPUTED_VALUE"""),0.0)</f>
        <v>0</v>
      </c>
      <c r="K95" s="15">
        <f>IFERROR(__xludf.DUMMYFUNCTION("""COMPUTED_VALUE"""),0.0)</f>
        <v>0</v>
      </c>
      <c r="L95" s="14" t="b"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5">
        <f>IFERROR(__xludf.DUMMYFUNCTION("""COMPUTED_VALUE"""),0.0)</f>
        <v>0</v>
      </c>
      <c r="K96" s="15">
        <f>IFERROR(__xludf.DUMMYFUNCTION("""COMPUTED_VALUE"""),0.0)</f>
        <v>0</v>
      </c>
      <c r="L96" s="14" t="b"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5">
        <f>IFERROR(__xludf.DUMMYFUNCTION("""COMPUTED_VALUE"""),0.0)</f>
        <v>0</v>
      </c>
      <c r="K97" s="15">
        <f>IFERROR(__xludf.DUMMYFUNCTION("""COMPUTED_VALUE"""),0.0)</f>
        <v>0</v>
      </c>
      <c r="L97" s="14" t="b"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5">
        <f>IFERROR(__xludf.DUMMYFUNCTION("""COMPUTED_VALUE"""),0.0)</f>
        <v>0</v>
      </c>
      <c r="K98" s="15">
        <f>IFERROR(__xludf.DUMMYFUNCTION("""COMPUTED_VALUE"""),0.0)</f>
        <v>0</v>
      </c>
      <c r="L98" s="14" t="b"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5">
        <f>IFERROR(__xludf.DUMMYFUNCTION("""COMPUTED_VALUE"""),0.0)</f>
        <v>0</v>
      </c>
      <c r="K99" s="15">
        <f>IFERROR(__xludf.DUMMYFUNCTION("""COMPUTED_VALUE"""),0.0)</f>
        <v>0</v>
      </c>
      <c r="L99" s="14" t="b"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5">
        <f>IFERROR(__xludf.DUMMYFUNCTION("""COMPUTED_VALUE"""),0.0)</f>
        <v>0</v>
      </c>
      <c r="K100" s="15">
        <f>IFERROR(__xludf.DUMMYFUNCTION("""COMPUTED_VALUE"""),0.0)</f>
        <v>0</v>
      </c>
      <c r="L100" s="14" t="b"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5">
        <f>IFERROR(__xludf.DUMMYFUNCTION("""COMPUTED_VALUE"""),0.0)</f>
        <v>0</v>
      </c>
      <c r="K101" s="15">
        <f>IFERROR(__xludf.DUMMYFUNCTION("""COMPUTED_VALUE"""),0.0)</f>
        <v>0</v>
      </c>
      <c r="L101" s="14" t="b"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38"/>
    <col customWidth="1" min="3" max="3" width="33.38"/>
    <col customWidth="1" min="4" max="4" width="34.88"/>
    <col customWidth="1" min="5" max="5" width="31.38"/>
    <col customWidth="1" min="6" max="6" width="32.25"/>
    <col customWidth="1" min="7" max="7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2" t="s">
        <v>57</v>
      </c>
      <c r="G1" s="3" t="s">
        <v>58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59</v>
      </c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3" t="s">
        <v>60</v>
      </c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3" t="s">
        <v>61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 t="s">
        <v>62</v>
      </c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3" t="s">
        <v>63</v>
      </c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 t="s">
        <v>64</v>
      </c>
      <c r="B7" s="5" t="s">
        <v>65</v>
      </c>
      <c r="C7" s="5" t="s">
        <v>66</v>
      </c>
      <c r="D7" s="5" t="s">
        <v>67</v>
      </c>
      <c r="E7" s="5"/>
      <c r="F7" s="5" t="s">
        <v>68</v>
      </c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 t="s">
        <v>69</v>
      </c>
      <c r="B8" s="9" t="s">
        <v>70</v>
      </c>
      <c r="C8" s="5" t="s">
        <v>67</v>
      </c>
      <c r="D8" s="5" t="s">
        <v>71</v>
      </c>
      <c r="E8" s="5"/>
      <c r="F8" s="5" t="s">
        <v>72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 t="s">
        <v>73</v>
      </c>
      <c r="B9" s="5" t="s">
        <v>74</v>
      </c>
      <c r="C9" s="5" t="s">
        <v>75</v>
      </c>
      <c r="D9" s="5" t="s">
        <v>76</v>
      </c>
      <c r="E9" s="5"/>
      <c r="F9" s="5" t="s">
        <v>77</v>
      </c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 t="s">
        <v>78</v>
      </c>
      <c r="B10" s="9" t="s">
        <v>79</v>
      </c>
      <c r="C10" s="10"/>
      <c r="D10" s="9" t="s">
        <v>80</v>
      </c>
      <c r="E10" s="9"/>
      <c r="F10" s="11" t="s">
        <v>81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 t="s">
        <v>82</v>
      </c>
      <c r="B11" s="6"/>
      <c r="C11" s="5" t="s">
        <v>83</v>
      </c>
      <c r="D11" s="5" t="s">
        <v>84</v>
      </c>
      <c r="E11" s="5"/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 t="s">
        <v>85</v>
      </c>
      <c r="B12" s="5" t="s">
        <v>86</v>
      </c>
      <c r="C12" s="16" t="s">
        <v>87</v>
      </c>
      <c r="D12" s="16" t="s">
        <v>88</v>
      </c>
      <c r="E12" s="5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 t="s">
        <v>89</v>
      </c>
      <c r="B13" s="5" t="s">
        <v>90</v>
      </c>
      <c r="C13" s="5" t="s">
        <v>91</v>
      </c>
      <c r="D13" s="5" t="s">
        <v>92</v>
      </c>
      <c r="E13" s="5"/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 t="s">
        <v>93</v>
      </c>
      <c r="B14" s="5" t="s">
        <v>94</v>
      </c>
      <c r="C14" s="9" t="s">
        <v>95</v>
      </c>
      <c r="D14" s="5" t="s">
        <v>96</v>
      </c>
      <c r="E14" s="5"/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" t="s">
        <v>97</v>
      </c>
      <c r="B15" s="5" t="s">
        <v>98</v>
      </c>
      <c r="C15" s="5" t="s">
        <v>99</v>
      </c>
      <c r="D15" s="5" t="s">
        <v>100</v>
      </c>
      <c r="E15" s="5"/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" t="s">
        <v>101</v>
      </c>
      <c r="B16" s="5" t="s">
        <v>102</v>
      </c>
      <c r="C16" s="5" t="s">
        <v>103</v>
      </c>
      <c r="D16" s="5" t="s">
        <v>104</v>
      </c>
      <c r="E16" s="5"/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3" t="s">
        <v>105</v>
      </c>
      <c r="B17" s="5" t="s">
        <v>106</v>
      </c>
      <c r="C17" s="5" t="s">
        <v>107</v>
      </c>
      <c r="D17" s="5" t="s">
        <v>108</v>
      </c>
      <c r="E17" s="5"/>
      <c r="F17" s="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3" t="s">
        <v>109</v>
      </c>
      <c r="B18" s="5" t="s">
        <v>110</v>
      </c>
      <c r="C18" s="5" t="s">
        <v>111</v>
      </c>
      <c r="D18" s="5" t="s">
        <v>112</v>
      </c>
      <c r="E18" s="5"/>
      <c r="F18" s="5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" t="s">
        <v>113</v>
      </c>
      <c r="B19" s="5" t="s">
        <v>114</v>
      </c>
      <c r="C19" s="5" t="s">
        <v>115</v>
      </c>
      <c r="D19" s="5" t="s">
        <v>116</v>
      </c>
      <c r="E19" s="5"/>
      <c r="F19" s="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" t="s">
        <v>117</v>
      </c>
      <c r="B20" s="5" t="s">
        <v>118</v>
      </c>
      <c r="C20" s="6"/>
      <c r="D20" s="5" t="s">
        <v>119</v>
      </c>
      <c r="E20" s="5"/>
      <c r="F20" s="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3" t="s">
        <v>120</v>
      </c>
      <c r="B21" s="5" t="s">
        <v>121</v>
      </c>
      <c r="C21" s="5" t="s">
        <v>122</v>
      </c>
      <c r="D21" s="5" t="s">
        <v>123</v>
      </c>
      <c r="E21" s="6"/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3" t="s">
        <v>124</v>
      </c>
      <c r="B22" s="5" t="s">
        <v>125</v>
      </c>
      <c r="C22" s="5" t="s">
        <v>126</v>
      </c>
      <c r="D22" s="5" t="s">
        <v>127</v>
      </c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3" t="s">
        <v>128</v>
      </c>
      <c r="B23" s="5" t="s">
        <v>129</v>
      </c>
      <c r="C23" s="5" t="s">
        <v>130</v>
      </c>
      <c r="D23" s="5" t="s">
        <v>131</v>
      </c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3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3" t="s">
        <v>137</v>
      </c>
      <c r="B25" s="5" t="s">
        <v>138</v>
      </c>
      <c r="C25" s="5" t="s">
        <v>139</v>
      </c>
      <c r="D25" s="5" t="s">
        <v>140</v>
      </c>
      <c r="E25" s="5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3" t="s">
        <v>141</v>
      </c>
      <c r="B26" s="5" t="s">
        <v>142</v>
      </c>
      <c r="C26" s="5" t="s">
        <v>143</v>
      </c>
      <c r="D26" s="5" t="s">
        <v>144</v>
      </c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3" t="s">
        <v>145</v>
      </c>
      <c r="B27" s="6"/>
      <c r="C27" s="5" t="s">
        <v>146</v>
      </c>
      <c r="D27" s="5" t="s">
        <v>147</v>
      </c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/>
      <c r="B28" s="12"/>
      <c r="C28" s="12"/>
      <c r="D28" s="12"/>
      <c r="E28" s="12"/>
      <c r="F28" s="13"/>
      <c r="G28" s="12"/>
    </row>
    <row r="29">
      <c r="A29" s="4"/>
      <c r="B29" s="12"/>
      <c r="C29" s="12"/>
      <c r="D29" s="12"/>
      <c r="E29" s="12"/>
      <c r="F29" s="13"/>
      <c r="G29" s="12"/>
    </row>
    <row r="30">
      <c r="A30" s="4"/>
      <c r="B30" s="12"/>
      <c r="C30" s="12"/>
      <c r="D30" s="12"/>
      <c r="E30" s="12"/>
      <c r="F30" s="13"/>
      <c r="G30" s="12"/>
    </row>
    <row r="31">
      <c r="A31" s="4"/>
      <c r="B31" s="12"/>
      <c r="C31" s="12"/>
      <c r="D31" s="12"/>
      <c r="E31" s="12"/>
      <c r="F31" s="13"/>
      <c r="G31" s="12"/>
    </row>
    <row r="32">
      <c r="A32" s="4"/>
      <c r="B32" s="12"/>
      <c r="C32" s="12"/>
      <c r="D32" s="12"/>
      <c r="E32" s="12"/>
      <c r="F32" s="13"/>
      <c r="G32" s="12"/>
    </row>
    <row r="33">
      <c r="A33" s="4"/>
      <c r="B33" s="12"/>
      <c r="C33" s="12"/>
      <c r="D33" s="12"/>
      <c r="E33" s="12"/>
      <c r="F33" s="13"/>
      <c r="G33" s="12"/>
    </row>
    <row r="34">
      <c r="A34" s="4"/>
      <c r="B34" s="12"/>
      <c r="C34" s="12"/>
      <c r="D34" s="12"/>
      <c r="E34" s="12"/>
      <c r="F34" s="13"/>
      <c r="G34" s="12"/>
    </row>
    <row r="35">
      <c r="A35" s="4"/>
      <c r="B35" s="12"/>
      <c r="C35" s="12"/>
      <c r="D35" s="12"/>
      <c r="E35" s="12"/>
      <c r="F35" s="13"/>
      <c r="G35" s="12"/>
    </row>
    <row r="36">
      <c r="A36" s="4"/>
      <c r="B36" s="12"/>
      <c r="C36" s="12"/>
      <c r="D36" s="12"/>
      <c r="E36" s="12"/>
      <c r="F36" s="13"/>
      <c r="G36" s="12"/>
    </row>
    <row r="37">
      <c r="A37" s="4"/>
      <c r="B37" s="12"/>
      <c r="C37" s="12"/>
      <c r="D37" s="12"/>
      <c r="E37" s="12"/>
      <c r="F37" s="13"/>
      <c r="G37" s="12"/>
    </row>
    <row r="38">
      <c r="A38" s="4"/>
      <c r="B38" s="12"/>
      <c r="C38" s="12"/>
      <c r="D38" s="12"/>
      <c r="E38" s="12"/>
      <c r="F38" s="13"/>
      <c r="G38" s="12"/>
    </row>
    <row r="39">
      <c r="A39" s="4"/>
      <c r="B39" s="12"/>
      <c r="C39" s="12"/>
      <c r="D39" s="12"/>
      <c r="E39" s="12"/>
      <c r="F39" s="13"/>
      <c r="G39" s="12"/>
    </row>
    <row r="40">
      <c r="A40" s="4"/>
      <c r="B40" s="12"/>
      <c r="C40" s="12"/>
      <c r="D40" s="12"/>
      <c r="E40" s="12"/>
      <c r="F40" s="13"/>
      <c r="G40" s="12"/>
    </row>
    <row r="41">
      <c r="A41" s="4"/>
      <c r="B41" s="12"/>
      <c r="C41" s="12"/>
      <c r="D41" s="12"/>
      <c r="E41" s="12"/>
      <c r="F41" s="13"/>
      <c r="G41" s="12"/>
    </row>
    <row r="42">
      <c r="A42" s="4"/>
      <c r="B42" s="12"/>
      <c r="C42" s="12"/>
      <c r="D42" s="12"/>
      <c r="E42" s="12"/>
      <c r="F42" s="13"/>
      <c r="G42" s="12"/>
    </row>
    <row r="43">
      <c r="A43" s="4"/>
      <c r="B43" s="12"/>
      <c r="C43" s="12"/>
      <c r="D43" s="12"/>
      <c r="E43" s="12"/>
      <c r="F43" s="13"/>
      <c r="G43" s="12"/>
    </row>
    <row r="44">
      <c r="A44" s="4"/>
      <c r="B44" s="12"/>
      <c r="C44" s="12"/>
      <c r="D44" s="12"/>
      <c r="E44" s="12"/>
      <c r="F44" s="13"/>
      <c r="G44" s="12"/>
    </row>
    <row r="45">
      <c r="A45" s="4"/>
      <c r="B45" s="12"/>
      <c r="C45" s="12"/>
      <c r="D45" s="12"/>
      <c r="E45" s="12"/>
      <c r="F45" s="13"/>
      <c r="G45" s="12"/>
    </row>
    <row r="46">
      <c r="A46" s="4"/>
      <c r="B46" s="12"/>
      <c r="C46" s="12"/>
      <c r="D46" s="12"/>
      <c r="E46" s="12"/>
      <c r="F46" s="13"/>
      <c r="G46" s="12"/>
    </row>
    <row r="47">
      <c r="A47" s="4"/>
      <c r="B47" s="12"/>
      <c r="C47" s="12"/>
      <c r="D47" s="12"/>
      <c r="E47" s="12"/>
      <c r="F47" s="13"/>
      <c r="G47" s="12"/>
    </row>
    <row r="48">
      <c r="A48" s="4"/>
      <c r="B48" s="12"/>
      <c r="C48" s="12"/>
      <c r="D48" s="12"/>
      <c r="E48" s="12"/>
      <c r="F48" s="13"/>
      <c r="G48" s="12"/>
    </row>
    <row r="49">
      <c r="A49" s="4"/>
      <c r="B49" s="12"/>
      <c r="C49" s="12"/>
      <c r="D49" s="12"/>
      <c r="E49" s="12"/>
      <c r="F49" s="13"/>
      <c r="G49" s="12"/>
    </row>
    <row r="50">
      <c r="A50" s="4"/>
      <c r="B50" s="12"/>
      <c r="C50" s="12"/>
      <c r="D50" s="12"/>
      <c r="E50" s="12"/>
      <c r="F50" s="13"/>
      <c r="G50" s="12"/>
    </row>
    <row r="51">
      <c r="A51" s="4"/>
      <c r="B51" s="12"/>
      <c r="C51" s="12"/>
      <c r="D51" s="12"/>
      <c r="E51" s="12"/>
      <c r="F51" s="13"/>
      <c r="G51" s="12"/>
    </row>
    <row r="52">
      <c r="A52" s="4"/>
      <c r="B52" s="12"/>
      <c r="C52" s="12"/>
      <c r="D52" s="12"/>
      <c r="E52" s="12"/>
      <c r="F52" s="13"/>
      <c r="G52" s="12"/>
    </row>
    <row r="53">
      <c r="A53" s="4"/>
      <c r="B53" s="12"/>
      <c r="C53" s="12"/>
      <c r="D53" s="12"/>
      <c r="E53" s="12"/>
      <c r="F53" s="13"/>
      <c r="G53" s="12"/>
    </row>
    <row r="54">
      <c r="A54" s="4"/>
      <c r="B54" s="12"/>
      <c r="C54" s="12"/>
      <c r="D54" s="12"/>
      <c r="E54" s="12"/>
      <c r="F54" s="13"/>
      <c r="G54" s="12"/>
    </row>
    <row r="55">
      <c r="A55" s="4"/>
      <c r="B55" s="12"/>
      <c r="C55" s="12"/>
      <c r="D55" s="12"/>
      <c r="E55" s="12"/>
      <c r="F55" s="13"/>
      <c r="G55" s="12"/>
    </row>
    <row r="56">
      <c r="A56" s="4"/>
      <c r="B56" s="12"/>
      <c r="C56" s="12"/>
      <c r="D56" s="12"/>
      <c r="E56" s="12"/>
      <c r="F56" s="13"/>
      <c r="G56" s="12"/>
    </row>
    <row r="57">
      <c r="A57" s="4"/>
      <c r="B57" s="12"/>
      <c r="C57" s="12"/>
      <c r="D57" s="12"/>
      <c r="E57" s="12"/>
      <c r="F57" s="13"/>
      <c r="G57" s="12"/>
    </row>
    <row r="58">
      <c r="A58" s="4"/>
      <c r="B58" s="12"/>
      <c r="C58" s="12"/>
      <c r="D58" s="12"/>
      <c r="E58" s="12"/>
      <c r="F58" s="13"/>
      <c r="G58" s="12"/>
    </row>
    <row r="59">
      <c r="A59" s="4"/>
      <c r="B59" s="12"/>
      <c r="C59" s="12"/>
      <c r="D59" s="12"/>
      <c r="E59" s="12"/>
      <c r="F59" s="13"/>
      <c r="G59" s="12"/>
    </row>
    <row r="60">
      <c r="A60" s="4"/>
      <c r="B60" s="12"/>
      <c r="C60" s="12"/>
      <c r="D60" s="12"/>
      <c r="E60" s="12"/>
      <c r="F60" s="13"/>
      <c r="G60" s="12"/>
    </row>
    <row r="61">
      <c r="A61" s="4"/>
      <c r="B61" s="12"/>
      <c r="C61" s="12"/>
      <c r="D61" s="12"/>
      <c r="E61" s="12"/>
      <c r="F61" s="13"/>
      <c r="G61" s="12"/>
    </row>
    <row r="62">
      <c r="A62" s="4"/>
      <c r="B62" s="12"/>
      <c r="C62" s="12"/>
      <c r="D62" s="12"/>
      <c r="E62" s="12"/>
      <c r="F62" s="13"/>
      <c r="G62" s="12"/>
    </row>
    <row r="63">
      <c r="A63" s="4"/>
      <c r="B63" s="12"/>
      <c r="C63" s="12"/>
      <c r="D63" s="12"/>
      <c r="E63" s="12"/>
      <c r="F63" s="13"/>
      <c r="G63" s="12"/>
    </row>
    <row r="64">
      <c r="A64" s="4"/>
      <c r="B64" s="12"/>
      <c r="C64" s="12"/>
      <c r="D64" s="12"/>
      <c r="E64" s="12"/>
      <c r="F64" s="13"/>
      <c r="G64" s="12"/>
    </row>
    <row r="65">
      <c r="A65" s="4"/>
      <c r="B65" s="12"/>
      <c r="C65" s="12"/>
      <c r="D65" s="12"/>
      <c r="E65" s="12"/>
      <c r="F65" s="13"/>
      <c r="G65" s="12"/>
    </row>
    <row r="66">
      <c r="A66" s="4"/>
      <c r="B66" s="12"/>
      <c r="C66" s="12"/>
      <c r="D66" s="12"/>
      <c r="E66" s="12"/>
      <c r="F66" s="13"/>
      <c r="G66" s="12"/>
    </row>
    <row r="67">
      <c r="A67" s="4"/>
      <c r="B67" s="12"/>
      <c r="C67" s="12"/>
      <c r="D67" s="12"/>
      <c r="E67" s="12"/>
      <c r="F67" s="13"/>
      <c r="G67" s="12"/>
    </row>
    <row r="68">
      <c r="A68" s="4"/>
      <c r="B68" s="12"/>
      <c r="C68" s="12"/>
      <c r="D68" s="12"/>
      <c r="E68" s="12"/>
      <c r="F68" s="13"/>
      <c r="G68" s="12"/>
    </row>
    <row r="69">
      <c r="A69" s="4"/>
      <c r="B69" s="12"/>
      <c r="C69" s="12"/>
      <c r="D69" s="12"/>
      <c r="E69" s="12"/>
      <c r="F69" s="13"/>
      <c r="G69" s="12"/>
    </row>
    <row r="70">
      <c r="A70" s="4"/>
      <c r="B70" s="12"/>
      <c r="C70" s="12"/>
      <c r="D70" s="12"/>
      <c r="E70" s="12"/>
      <c r="F70" s="13"/>
      <c r="G70" s="12"/>
    </row>
    <row r="71">
      <c r="A71" s="4"/>
      <c r="B71" s="12"/>
      <c r="C71" s="12"/>
      <c r="D71" s="12"/>
      <c r="E71" s="12"/>
      <c r="F71" s="13"/>
      <c r="G71" s="12"/>
    </row>
    <row r="72">
      <c r="A72" s="4"/>
      <c r="B72" s="12"/>
      <c r="C72" s="12"/>
      <c r="D72" s="12"/>
      <c r="E72" s="12"/>
      <c r="F72" s="13"/>
      <c r="G72" s="12"/>
    </row>
    <row r="73">
      <c r="A73" s="4"/>
      <c r="B73" s="12"/>
      <c r="C73" s="12"/>
      <c r="D73" s="12"/>
      <c r="E73" s="12"/>
      <c r="F73" s="13"/>
      <c r="G73" s="12"/>
    </row>
    <row r="74">
      <c r="A74" s="4"/>
      <c r="B74" s="12"/>
      <c r="C74" s="12"/>
      <c r="D74" s="12"/>
      <c r="E74" s="12"/>
      <c r="F74" s="13"/>
      <c r="G74" s="12"/>
    </row>
    <row r="75">
      <c r="A75" s="4"/>
      <c r="B75" s="12"/>
      <c r="C75" s="12"/>
      <c r="D75" s="12"/>
      <c r="E75" s="12"/>
      <c r="F75" s="13"/>
      <c r="G75" s="12"/>
    </row>
    <row r="76">
      <c r="A76" s="4"/>
      <c r="B76" s="12"/>
      <c r="C76" s="12"/>
      <c r="D76" s="12"/>
      <c r="E76" s="12"/>
      <c r="F76" s="13"/>
      <c r="G76" s="12"/>
    </row>
    <row r="77">
      <c r="A77" s="4"/>
      <c r="B77" s="12"/>
      <c r="C77" s="12"/>
      <c r="D77" s="12"/>
      <c r="E77" s="12"/>
      <c r="F77" s="13"/>
      <c r="G77" s="12"/>
    </row>
    <row r="78">
      <c r="A78" s="4"/>
      <c r="B78" s="12"/>
      <c r="C78" s="12"/>
      <c r="D78" s="12"/>
      <c r="E78" s="12"/>
      <c r="F78" s="13"/>
      <c r="G78" s="12"/>
    </row>
    <row r="79">
      <c r="A79" s="4"/>
      <c r="B79" s="12"/>
      <c r="C79" s="12"/>
      <c r="D79" s="12"/>
      <c r="E79" s="12"/>
      <c r="F79" s="13"/>
      <c r="G79" s="12"/>
    </row>
    <row r="80">
      <c r="A80" s="4"/>
      <c r="B80" s="12"/>
      <c r="C80" s="12"/>
      <c r="D80" s="12"/>
      <c r="E80" s="12"/>
      <c r="F80" s="13"/>
      <c r="G80" s="12"/>
    </row>
    <row r="81">
      <c r="A81" s="4"/>
      <c r="B81" s="12"/>
      <c r="C81" s="12"/>
      <c r="D81" s="12"/>
      <c r="E81" s="12"/>
      <c r="F81" s="13"/>
      <c r="G81" s="12"/>
    </row>
    <row r="82">
      <c r="A82" s="4"/>
      <c r="B82" s="12"/>
      <c r="C82" s="12"/>
      <c r="D82" s="12"/>
      <c r="E82" s="12"/>
      <c r="F82" s="13"/>
      <c r="G82" s="12"/>
    </row>
    <row r="83">
      <c r="A83" s="4"/>
      <c r="B83" s="12"/>
      <c r="C83" s="12"/>
      <c r="D83" s="12"/>
      <c r="E83" s="12"/>
      <c r="F83" s="13"/>
      <c r="G83" s="12"/>
    </row>
    <row r="84">
      <c r="A84" s="4"/>
      <c r="B84" s="12"/>
      <c r="C84" s="12"/>
      <c r="D84" s="12"/>
      <c r="E84" s="12"/>
      <c r="F84" s="13"/>
      <c r="G84" s="12"/>
    </row>
    <row r="85">
      <c r="A85" s="4"/>
      <c r="B85" s="12"/>
      <c r="C85" s="12"/>
      <c r="D85" s="12"/>
      <c r="E85" s="12"/>
      <c r="F85" s="13"/>
      <c r="G85" s="12"/>
    </row>
    <row r="86">
      <c r="A86" s="4"/>
      <c r="B86" s="12"/>
      <c r="C86" s="12"/>
      <c r="D86" s="12"/>
      <c r="E86" s="12"/>
      <c r="F86" s="13"/>
      <c r="G86" s="12"/>
    </row>
    <row r="87">
      <c r="A87" s="4"/>
      <c r="B87" s="12"/>
      <c r="C87" s="12"/>
      <c r="D87" s="12"/>
      <c r="E87" s="12"/>
      <c r="F87" s="13"/>
      <c r="G87" s="12"/>
    </row>
    <row r="88">
      <c r="A88" s="4"/>
      <c r="B88" s="12"/>
      <c r="C88" s="12"/>
      <c r="D88" s="12"/>
      <c r="E88" s="12"/>
      <c r="F88" s="13"/>
      <c r="G88" s="12"/>
    </row>
    <row r="89">
      <c r="A89" s="4"/>
      <c r="B89" s="12"/>
      <c r="C89" s="12"/>
      <c r="D89" s="12"/>
      <c r="E89" s="12"/>
      <c r="F89" s="13"/>
      <c r="G89" s="12"/>
    </row>
    <row r="90">
      <c r="A90" s="4"/>
      <c r="B90" s="12"/>
      <c r="C90" s="12"/>
      <c r="D90" s="12"/>
      <c r="E90" s="12"/>
      <c r="F90" s="13"/>
      <c r="G90" s="12"/>
    </row>
    <row r="91">
      <c r="A91" s="4"/>
      <c r="B91" s="12"/>
      <c r="C91" s="12"/>
      <c r="D91" s="12"/>
      <c r="E91" s="12"/>
      <c r="F91" s="13"/>
      <c r="G91" s="12"/>
    </row>
    <row r="92">
      <c r="A92" s="4"/>
      <c r="B92" s="12"/>
      <c r="C92" s="12"/>
      <c r="D92" s="12"/>
      <c r="E92" s="12"/>
      <c r="F92" s="13"/>
      <c r="G92" s="12"/>
    </row>
    <row r="93">
      <c r="A93" s="4"/>
      <c r="B93" s="12"/>
      <c r="C93" s="12"/>
      <c r="D93" s="12"/>
      <c r="E93" s="12"/>
      <c r="F93" s="13"/>
      <c r="G93" s="12"/>
    </row>
    <row r="94">
      <c r="A94" s="4"/>
      <c r="B94" s="12"/>
      <c r="C94" s="12"/>
      <c r="D94" s="12"/>
      <c r="E94" s="12"/>
      <c r="F94" s="13"/>
      <c r="G94" s="12"/>
    </row>
    <row r="95">
      <c r="A95" s="4"/>
      <c r="B95" s="12"/>
      <c r="C95" s="12"/>
      <c r="D95" s="12"/>
      <c r="E95" s="12"/>
      <c r="F95" s="13"/>
      <c r="G95" s="12"/>
    </row>
    <row r="96">
      <c r="A96" s="4"/>
      <c r="B96" s="12"/>
      <c r="C96" s="12"/>
      <c r="D96" s="12"/>
      <c r="E96" s="12"/>
      <c r="F96" s="13"/>
      <c r="G96" s="12"/>
    </row>
    <row r="97">
      <c r="A97" s="4"/>
      <c r="B97" s="12"/>
      <c r="C97" s="12"/>
      <c r="D97" s="12"/>
      <c r="E97" s="12"/>
      <c r="F97" s="13"/>
      <c r="G97" s="12"/>
    </row>
    <row r="98">
      <c r="A98" s="4"/>
      <c r="B98" s="12"/>
      <c r="C98" s="12"/>
      <c r="D98" s="12"/>
      <c r="E98" s="12"/>
      <c r="F98" s="13"/>
      <c r="G98" s="12"/>
    </row>
    <row r="99">
      <c r="A99" s="4"/>
      <c r="B99" s="12"/>
      <c r="C99" s="12"/>
      <c r="D99" s="12"/>
      <c r="E99" s="12"/>
      <c r="F99" s="13"/>
      <c r="G99" s="12"/>
    </row>
    <row r="100">
      <c r="A100" s="4"/>
      <c r="B100" s="12"/>
      <c r="C100" s="12"/>
      <c r="D100" s="12"/>
      <c r="E100" s="12"/>
      <c r="F100" s="13"/>
      <c r="G100" s="12"/>
    </row>
    <row r="101">
      <c r="A101" s="4"/>
      <c r="B101" s="12"/>
      <c r="C101" s="12"/>
      <c r="D101" s="12"/>
      <c r="E101" s="12"/>
      <c r="F101" s="13"/>
      <c r="G101" s="12"/>
    </row>
    <row r="102">
      <c r="A102" s="4"/>
      <c r="B102" s="12"/>
      <c r="C102" s="12"/>
      <c r="D102" s="12"/>
      <c r="E102" s="12"/>
      <c r="F102" s="13"/>
      <c r="G102" s="12"/>
    </row>
    <row r="103">
      <c r="A103" s="4"/>
      <c r="B103" s="12"/>
      <c r="C103" s="12"/>
      <c r="D103" s="12"/>
      <c r="E103" s="12"/>
      <c r="F103" s="13"/>
      <c r="G103" s="12"/>
    </row>
    <row r="104">
      <c r="A104" s="4"/>
      <c r="B104" s="12"/>
      <c r="C104" s="12"/>
      <c r="D104" s="12"/>
      <c r="E104" s="12"/>
      <c r="F104" s="13"/>
      <c r="G104" s="12"/>
    </row>
    <row r="105">
      <c r="A105" s="4"/>
      <c r="B105" s="12"/>
      <c r="C105" s="12"/>
      <c r="D105" s="12"/>
      <c r="E105" s="12"/>
      <c r="F105" s="13"/>
      <c r="G105" s="12"/>
    </row>
    <row r="106">
      <c r="A106" s="4"/>
      <c r="B106" s="12"/>
      <c r="C106" s="12"/>
      <c r="D106" s="12"/>
      <c r="E106" s="12"/>
      <c r="F106" s="13"/>
      <c r="G106" s="12"/>
    </row>
    <row r="107">
      <c r="A107" s="4"/>
      <c r="B107" s="12"/>
      <c r="C107" s="12"/>
      <c r="D107" s="12"/>
      <c r="E107" s="12"/>
      <c r="F107" s="13"/>
      <c r="G107" s="12"/>
    </row>
    <row r="108">
      <c r="A108" s="4"/>
      <c r="B108" s="12"/>
      <c r="C108" s="12"/>
      <c r="D108" s="12"/>
      <c r="E108" s="12"/>
      <c r="F108" s="13"/>
      <c r="G108" s="12"/>
    </row>
    <row r="109">
      <c r="A109" s="4"/>
      <c r="B109" s="12"/>
      <c r="C109" s="12"/>
      <c r="D109" s="12"/>
      <c r="E109" s="12"/>
      <c r="F109" s="13"/>
      <c r="G109" s="12"/>
    </row>
    <row r="110">
      <c r="A110" s="4"/>
      <c r="B110" s="12"/>
      <c r="C110" s="12"/>
      <c r="D110" s="12"/>
      <c r="E110" s="12"/>
      <c r="F110" s="13"/>
      <c r="G110" s="12"/>
    </row>
    <row r="111">
      <c r="A111" s="4"/>
      <c r="B111" s="12"/>
      <c r="C111" s="12"/>
      <c r="D111" s="12"/>
      <c r="E111" s="12"/>
      <c r="F111" s="13"/>
      <c r="G111" s="12"/>
    </row>
    <row r="112">
      <c r="A112" s="4"/>
      <c r="B112" s="12"/>
      <c r="C112" s="12"/>
      <c r="D112" s="12"/>
      <c r="E112" s="12"/>
      <c r="F112" s="13"/>
      <c r="G112" s="12"/>
    </row>
    <row r="113">
      <c r="A113" s="4"/>
      <c r="B113" s="12"/>
      <c r="C113" s="12"/>
      <c r="D113" s="12"/>
      <c r="E113" s="12"/>
      <c r="F113" s="13"/>
      <c r="G113" s="12"/>
    </row>
    <row r="114">
      <c r="A114" s="4"/>
      <c r="B114" s="12"/>
      <c r="C114" s="12"/>
      <c r="D114" s="12"/>
      <c r="E114" s="12"/>
      <c r="F114" s="13"/>
      <c r="G114" s="12"/>
    </row>
    <row r="115">
      <c r="A115" s="4"/>
      <c r="B115" s="12"/>
      <c r="C115" s="12"/>
      <c r="D115" s="12"/>
      <c r="E115" s="12"/>
      <c r="F115" s="13"/>
      <c r="G115" s="12"/>
    </row>
    <row r="116">
      <c r="A116" s="4"/>
      <c r="B116" s="12"/>
      <c r="C116" s="12"/>
      <c r="D116" s="12"/>
      <c r="E116" s="12"/>
      <c r="F116" s="13"/>
      <c r="G116" s="12"/>
    </row>
    <row r="117">
      <c r="A117" s="4"/>
      <c r="B117" s="12"/>
      <c r="C117" s="12"/>
      <c r="D117" s="12"/>
      <c r="E117" s="12"/>
      <c r="F117" s="13"/>
      <c r="G117" s="12"/>
    </row>
    <row r="118">
      <c r="A118" s="4"/>
      <c r="B118" s="12"/>
      <c r="C118" s="12"/>
      <c r="D118" s="12"/>
      <c r="E118" s="12"/>
      <c r="F118" s="13"/>
      <c r="G118" s="12"/>
    </row>
    <row r="119">
      <c r="A119" s="4"/>
      <c r="B119" s="12"/>
      <c r="C119" s="12"/>
      <c r="D119" s="12"/>
      <c r="E119" s="12"/>
      <c r="F119" s="13"/>
      <c r="G119" s="12"/>
    </row>
    <row r="120">
      <c r="A120" s="4"/>
      <c r="B120" s="12"/>
      <c r="C120" s="12"/>
      <c r="D120" s="12"/>
      <c r="E120" s="12"/>
      <c r="F120" s="13"/>
      <c r="G120" s="12"/>
    </row>
    <row r="121">
      <c r="A121" s="4"/>
      <c r="B121" s="12"/>
      <c r="C121" s="12"/>
      <c r="D121" s="12"/>
      <c r="E121" s="12"/>
      <c r="F121" s="13"/>
      <c r="G121" s="12"/>
    </row>
    <row r="122">
      <c r="A122" s="4"/>
      <c r="B122" s="12"/>
      <c r="C122" s="12"/>
      <c r="D122" s="12"/>
      <c r="E122" s="12"/>
      <c r="F122" s="13"/>
      <c r="G122" s="12"/>
    </row>
    <row r="123">
      <c r="A123" s="4"/>
      <c r="B123" s="12"/>
      <c r="C123" s="12"/>
      <c r="D123" s="12"/>
      <c r="E123" s="12"/>
      <c r="F123" s="13"/>
      <c r="G123" s="12"/>
    </row>
    <row r="124">
      <c r="A124" s="4"/>
      <c r="B124" s="12"/>
      <c r="C124" s="12"/>
      <c r="D124" s="12"/>
      <c r="E124" s="12"/>
      <c r="F124" s="13"/>
      <c r="G124" s="12"/>
    </row>
    <row r="125">
      <c r="A125" s="4"/>
      <c r="B125" s="12"/>
      <c r="C125" s="12"/>
      <c r="D125" s="12"/>
      <c r="E125" s="12"/>
      <c r="F125" s="13"/>
      <c r="G125" s="12"/>
    </row>
    <row r="126">
      <c r="A126" s="4"/>
      <c r="B126" s="12"/>
      <c r="C126" s="12"/>
      <c r="D126" s="12"/>
      <c r="E126" s="12"/>
      <c r="F126" s="13"/>
      <c r="G126" s="12"/>
    </row>
    <row r="127">
      <c r="A127" s="4"/>
      <c r="B127" s="12"/>
      <c r="C127" s="12"/>
      <c r="D127" s="12"/>
      <c r="E127" s="12"/>
      <c r="F127" s="13"/>
      <c r="G127" s="12"/>
    </row>
    <row r="128">
      <c r="A128" s="4"/>
      <c r="B128" s="12"/>
      <c r="C128" s="12"/>
      <c r="D128" s="12"/>
      <c r="E128" s="12"/>
      <c r="F128" s="13"/>
      <c r="G128" s="12"/>
    </row>
    <row r="129">
      <c r="A129" s="4"/>
      <c r="B129" s="12"/>
      <c r="C129" s="12"/>
      <c r="D129" s="12"/>
      <c r="E129" s="12"/>
      <c r="F129" s="13"/>
      <c r="G129" s="12"/>
    </row>
    <row r="130">
      <c r="A130" s="4"/>
      <c r="B130" s="12"/>
      <c r="C130" s="12"/>
      <c r="D130" s="12"/>
      <c r="E130" s="12"/>
      <c r="F130" s="13"/>
      <c r="G130" s="12"/>
    </row>
    <row r="131">
      <c r="A131" s="4"/>
      <c r="B131" s="12"/>
      <c r="C131" s="12"/>
      <c r="D131" s="12"/>
      <c r="E131" s="12"/>
      <c r="F131" s="13"/>
      <c r="G131" s="12"/>
    </row>
    <row r="132">
      <c r="A132" s="4"/>
      <c r="B132" s="12"/>
      <c r="C132" s="12"/>
      <c r="D132" s="12"/>
      <c r="E132" s="12"/>
      <c r="F132" s="13"/>
      <c r="G132" s="12"/>
    </row>
    <row r="133">
      <c r="A133" s="4"/>
      <c r="B133" s="12"/>
      <c r="C133" s="12"/>
      <c r="D133" s="12"/>
      <c r="E133" s="12"/>
      <c r="F133" s="13"/>
      <c r="G133" s="12"/>
    </row>
    <row r="134">
      <c r="A134" s="4"/>
      <c r="B134" s="12"/>
      <c r="C134" s="12"/>
      <c r="D134" s="12"/>
      <c r="E134" s="12"/>
      <c r="F134" s="13"/>
      <c r="G134" s="12"/>
    </row>
    <row r="135">
      <c r="A135" s="4"/>
      <c r="B135" s="12"/>
      <c r="C135" s="12"/>
      <c r="D135" s="12"/>
      <c r="E135" s="12"/>
      <c r="F135" s="13"/>
      <c r="G135" s="12"/>
    </row>
    <row r="136">
      <c r="A136" s="4"/>
      <c r="B136" s="12"/>
      <c r="C136" s="12"/>
      <c r="D136" s="12"/>
      <c r="E136" s="12"/>
      <c r="F136" s="13"/>
      <c r="G136" s="12"/>
    </row>
    <row r="137">
      <c r="A137" s="4"/>
      <c r="B137" s="12"/>
      <c r="C137" s="12"/>
      <c r="D137" s="12"/>
      <c r="E137" s="12"/>
      <c r="F137" s="13"/>
      <c r="G137" s="12"/>
    </row>
    <row r="138">
      <c r="A138" s="4"/>
      <c r="B138" s="12"/>
      <c r="C138" s="12"/>
      <c r="D138" s="12"/>
      <c r="E138" s="12"/>
      <c r="F138" s="13"/>
      <c r="G138" s="12"/>
    </row>
    <row r="139">
      <c r="A139" s="4"/>
      <c r="B139" s="12"/>
      <c r="C139" s="12"/>
      <c r="D139" s="12"/>
      <c r="E139" s="12"/>
      <c r="F139" s="13"/>
      <c r="G139" s="12"/>
    </row>
    <row r="140">
      <c r="A140" s="4"/>
      <c r="B140" s="12"/>
      <c r="C140" s="12"/>
      <c r="D140" s="12"/>
      <c r="E140" s="12"/>
      <c r="F140" s="13"/>
      <c r="G140" s="12"/>
    </row>
    <row r="141">
      <c r="A141" s="4"/>
      <c r="B141" s="12"/>
      <c r="C141" s="12"/>
      <c r="D141" s="12"/>
      <c r="E141" s="12"/>
      <c r="F141" s="13"/>
      <c r="G141" s="12"/>
    </row>
    <row r="142">
      <c r="A142" s="4"/>
      <c r="B142" s="12"/>
      <c r="C142" s="12"/>
      <c r="D142" s="12"/>
      <c r="E142" s="12"/>
      <c r="F142" s="13"/>
      <c r="G142" s="12"/>
    </row>
    <row r="143">
      <c r="A143" s="4"/>
      <c r="B143" s="12"/>
      <c r="C143" s="12"/>
      <c r="D143" s="12"/>
      <c r="E143" s="12"/>
      <c r="F143" s="13"/>
      <c r="G143" s="12"/>
    </row>
    <row r="144">
      <c r="A144" s="4"/>
      <c r="B144" s="12"/>
      <c r="C144" s="12"/>
      <c r="D144" s="12"/>
      <c r="E144" s="12"/>
      <c r="F144" s="13"/>
      <c r="G144" s="12"/>
    </row>
    <row r="145">
      <c r="A145" s="4"/>
      <c r="B145" s="12"/>
      <c r="C145" s="12"/>
      <c r="D145" s="12"/>
      <c r="E145" s="12"/>
      <c r="F145" s="13"/>
      <c r="G145" s="12"/>
    </row>
    <row r="146">
      <c r="A146" s="4"/>
      <c r="B146" s="12"/>
      <c r="C146" s="12"/>
      <c r="D146" s="12"/>
      <c r="E146" s="12"/>
      <c r="F146" s="13"/>
      <c r="G146" s="12"/>
    </row>
    <row r="147">
      <c r="A147" s="4"/>
      <c r="B147" s="12"/>
      <c r="C147" s="12"/>
      <c r="D147" s="12"/>
      <c r="E147" s="12"/>
      <c r="F147" s="13"/>
      <c r="G147" s="12"/>
    </row>
    <row r="148">
      <c r="A148" s="4"/>
      <c r="B148" s="12"/>
      <c r="C148" s="12"/>
      <c r="D148" s="12"/>
      <c r="E148" s="12"/>
      <c r="F148" s="13"/>
      <c r="G148" s="12"/>
    </row>
    <row r="149">
      <c r="A149" s="4"/>
      <c r="B149" s="12"/>
      <c r="C149" s="12"/>
      <c r="D149" s="12"/>
      <c r="E149" s="12"/>
      <c r="F149" s="13"/>
      <c r="G149" s="12"/>
    </row>
    <row r="150">
      <c r="A150" s="4"/>
      <c r="B150" s="12"/>
      <c r="C150" s="12"/>
      <c r="D150" s="12"/>
      <c r="E150" s="12"/>
      <c r="F150" s="13"/>
      <c r="G150" s="12"/>
    </row>
    <row r="151">
      <c r="A151" s="4"/>
      <c r="B151" s="12"/>
      <c r="C151" s="12"/>
      <c r="D151" s="12"/>
      <c r="E151" s="12"/>
      <c r="F151" s="13"/>
      <c r="G151" s="12"/>
    </row>
    <row r="152">
      <c r="A152" s="4"/>
      <c r="B152" s="12"/>
      <c r="C152" s="12"/>
      <c r="D152" s="12"/>
      <c r="E152" s="12"/>
      <c r="F152" s="13"/>
      <c r="G152" s="12"/>
    </row>
    <row r="153">
      <c r="A153" s="4"/>
      <c r="B153" s="12"/>
      <c r="C153" s="12"/>
      <c r="D153" s="12"/>
      <c r="E153" s="12"/>
      <c r="F153" s="13"/>
      <c r="G153" s="12"/>
    </row>
    <row r="154">
      <c r="A154" s="4"/>
      <c r="B154" s="12"/>
      <c r="C154" s="12"/>
      <c r="D154" s="12"/>
      <c r="E154" s="12"/>
      <c r="F154" s="13"/>
      <c r="G154" s="12"/>
    </row>
    <row r="155">
      <c r="A155" s="4"/>
      <c r="B155" s="12"/>
      <c r="C155" s="12"/>
      <c r="D155" s="12"/>
      <c r="E155" s="12"/>
      <c r="F155" s="13"/>
      <c r="G155" s="12"/>
    </row>
    <row r="156">
      <c r="A156" s="4"/>
      <c r="B156" s="12"/>
      <c r="C156" s="12"/>
      <c r="D156" s="12"/>
      <c r="E156" s="12"/>
      <c r="F156" s="13"/>
      <c r="G156" s="12"/>
    </row>
    <row r="157">
      <c r="A157" s="4"/>
      <c r="B157" s="12"/>
      <c r="C157" s="12"/>
      <c r="D157" s="12"/>
      <c r="E157" s="12"/>
      <c r="F157" s="13"/>
      <c r="G157" s="12"/>
    </row>
    <row r="158">
      <c r="A158" s="4"/>
      <c r="B158" s="12"/>
      <c r="C158" s="12"/>
      <c r="D158" s="12"/>
      <c r="E158" s="12"/>
      <c r="F158" s="13"/>
      <c r="G158" s="12"/>
    </row>
    <row r="159">
      <c r="A159" s="4"/>
      <c r="B159" s="12"/>
      <c r="C159" s="12"/>
      <c r="D159" s="12"/>
      <c r="E159" s="12"/>
      <c r="F159" s="13"/>
      <c r="G159" s="12"/>
    </row>
    <row r="160">
      <c r="A160" s="4"/>
      <c r="B160" s="12"/>
      <c r="C160" s="12"/>
      <c r="D160" s="12"/>
      <c r="E160" s="12"/>
      <c r="F160" s="13"/>
      <c r="G160" s="12"/>
    </row>
    <row r="161">
      <c r="A161" s="4"/>
      <c r="B161" s="12"/>
      <c r="C161" s="12"/>
      <c r="D161" s="12"/>
      <c r="E161" s="12"/>
      <c r="F161" s="13"/>
      <c r="G161" s="12"/>
    </row>
    <row r="162">
      <c r="A162" s="4"/>
      <c r="B162" s="12"/>
      <c r="C162" s="12"/>
      <c r="D162" s="12"/>
      <c r="E162" s="12"/>
      <c r="F162" s="13"/>
      <c r="G162" s="12"/>
    </row>
    <row r="163">
      <c r="A163" s="4"/>
      <c r="B163" s="12"/>
      <c r="C163" s="12"/>
      <c r="D163" s="12"/>
      <c r="E163" s="12"/>
      <c r="F163" s="13"/>
      <c r="G163" s="12"/>
    </row>
    <row r="164">
      <c r="A164" s="4"/>
      <c r="B164" s="12"/>
      <c r="C164" s="12"/>
      <c r="D164" s="12"/>
      <c r="E164" s="12"/>
      <c r="F164" s="13"/>
      <c r="G164" s="12"/>
    </row>
    <row r="165">
      <c r="A165" s="4"/>
      <c r="B165" s="12"/>
      <c r="C165" s="12"/>
      <c r="D165" s="12"/>
      <c r="E165" s="12"/>
      <c r="F165" s="13"/>
      <c r="G165" s="12"/>
    </row>
    <row r="166">
      <c r="A166" s="4"/>
      <c r="B166" s="12"/>
      <c r="C166" s="12"/>
      <c r="D166" s="12"/>
      <c r="E166" s="12"/>
      <c r="F166" s="13"/>
      <c r="G166" s="12"/>
    </row>
    <row r="167">
      <c r="A167" s="4"/>
      <c r="B167" s="12"/>
      <c r="C167" s="12"/>
      <c r="D167" s="12"/>
      <c r="E167" s="12"/>
      <c r="F167" s="13"/>
      <c r="G167" s="12"/>
    </row>
    <row r="168">
      <c r="A168" s="4"/>
      <c r="B168" s="12"/>
      <c r="C168" s="12"/>
      <c r="D168" s="12"/>
      <c r="E168" s="12"/>
      <c r="F168" s="13"/>
      <c r="G168" s="12"/>
    </row>
    <row r="169">
      <c r="A169" s="4"/>
      <c r="B169" s="12"/>
      <c r="C169" s="12"/>
      <c r="D169" s="12"/>
      <c r="E169" s="12"/>
      <c r="F169" s="13"/>
      <c r="G169" s="12"/>
    </row>
    <row r="170">
      <c r="A170" s="4"/>
      <c r="B170" s="12"/>
      <c r="C170" s="12"/>
      <c r="D170" s="12"/>
      <c r="E170" s="12"/>
      <c r="F170" s="13"/>
      <c r="G170" s="12"/>
    </row>
    <row r="171">
      <c r="A171" s="4"/>
      <c r="B171" s="12"/>
      <c r="C171" s="12"/>
      <c r="D171" s="12"/>
      <c r="E171" s="12"/>
      <c r="F171" s="13"/>
      <c r="G171" s="12"/>
    </row>
    <row r="172">
      <c r="A172" s="4"/>
      <c r="B172" s="12"/>
      <c r="C172" s="12"/>
      <c r="D172" s="12"/>
      <c r="E172" s="12"/>
      <c r="F172" s="13"/>
      <c r="G172" s="12"/>
    </row>
    <row r="173">
      <c r="A173" s="4"/>
      <c r="B173" s="12"/>
      <c r="C173" s="12"/>
      <c r="D173" s="12"/>
      <c r="E173" s="12"/>
      <c r="F173" s="13"/>
      <c r="G173" s="12"/>
    </row>
    <row r="174">
      <c r="A174" s="4"/>
      <c r="B174" s="12"/>
      <c r="C174" s="12"/>
      <c r="D174" s="12"/>
      <c r="E174" s="12"/>
      <c r="F174" s="13"/>
      <c r="G174" s="12"/>
    </row>
    <row r="175">
      <c r="A175" s="4"/>
      <c r="B175" s="12"/>
      <c r="C175" s="12"/>
      <c r="D175" s="12"/>
      <c r="E175" s="12"/>
      <c r="F175" s="13"/>
      <c r="G175" s="12"/>
    </row>
    <row r="176">
      <c r="A176" s="4"/>
      <c r="B176" s="12"/>
      <c r="C176" s="12"/>
      <c r="D176" s="12"/>
      <c r="E176" s="12"/>
      <c r="F176" s="13"/>
      <c r="G176" s="12"/>
    </row>
    <row r="177">
      <c r="A177" s="4"/>
      <c r="B177" s="12"/>
      <c r="C177" s="12"/>
      <c r="D177" s="12"/>
      <c r="E177" s="12"/>
      <c r="F177" s="13"/>
      <c r="G177" s="12"/>
    </row>
    <row r="178">
      <c r="A178" s="4"/>
      <c r="B178" s="12"/>
      <c r="C178" s="12"/>
      <c r="D178" s="12"/>
      <c r="E178" s="12"/>
      <c r="F178" s="13"/>
      <c r="G178" s="12"/>
    </row>
    <row r="179">
      <c r="A179" s="4"/>
      <c r="B179" s="12"/>
      <c r="C179" s="12"/>
      <c r="D179" s="12"/>
      <c r="E179" s="12"/>
      <c r="F179" s="13"/>
      <c r="G179" s="12"/>
    </row>
    <row r="180">
      <c r="A180" s="4"/>
      <c r="B180" s="12"/>
      <c r="C180" s="12"/>
      <c r="D180" s="12"/>
      <c r="E180" s="12"/>
      <c r="F180" s="13"/>
      <c r="G180" s="12"/>
    </row>
    <row r="181">
      <c r="A181" s="4"/>
      <c r="B181" s="12"/>
      <c r="C181" s="12"/>
      <c r="D181" s="12"/>
      <c r="E181" s="12"/>
      <c r="F181" s="13"/>
      <c r="G181" s="12"/>
    </row>
    <row r="182">
      <c r="A182" s="4"/>
      <c r="B182" s="12"/>
      <c r="C182" s="12"/>
      <c r="D182" s="12"/>
      <c r="E182" s="12"/>
      <c r="F182" s="13"/>
      <c r="G182" s="12"/>
    </row>
    <row r="183">
      <c r="A183" s="4"/>
      <c r="B183" s="12"/>
      <c r="C183" s="12"/>
      <c r="D183" s="12"/>
      <c r="E183" s="12"/>
      <c r="F183" s="13"/>
      <c r="G183" s="12"/>
    </row>
    <row r="184">
      <c r="A184" s="4"/>
      <c r="B184" s="12"/>
      <c r="C184" s="12"/>
      <c r="D184" s="12"/>
      <c r="E184" s="12"/>
      <c r="F184" s="13"/>
      <c r="G184" s="12"/>
    </row>
    <row r="185">
      <c r="A185" s="4"/>
      <c r="B185" s="12"/>
      <c r="C185" s="12"/>
      <c r="D185" s="12"/>
      <c r="E185" s="12"/>
      <c r="F185" s="13"/>
      <c r="G185" s="12"/>
    </row>
    <row r="186">
      <c r="A186" s="4"/>
      <c r="B186" s="12"/>
      <c r="C186" s="12"/>
      <c r="D186" s="12"/>
      <c r="E186" s="12"/>
      <c r="F186" s="13"/>
      <c r="G186" s="12"/>
    </row>
    <row r="187">
      <c r="A187" s="4"/>
      <c r="B187" s="12"/>
      <c r="C187" s="12"/>
      <c r="D187" s="12"/>
      <c r="E187" s="12"/>
      <c r="F187" s="13"/>
      <c r="G187" s="12"/>
    </row>
    <row r="188">
      <c r="A188" s="4"/>
      <c r="B188" s="12"/>
      <c r="C188" s="12"/>
      <c r="D188" s="12"/>
      <c r="E188" s="12"/>
      <c r="F188" s="13"/>
      <c r="G188" s="12"/>
    </row>
    <row r="189">
      <c r="A189" s="4"/>
      <c r="B189" s="12"/>
      <c r="C189" s="12"/>
      <c r="D189" s="12"/>
      <c r="E189" s="12"/>
      <c r="F189" s="13"/>
      <c r="G189" s="12"/>
    </row>
    <row r="190">
      <c r="A190" s="4"/>
      <c r="B190" s="12"/>
      <c r="C190" s="12"/>
      <c r="D190" s="12"/>
      <c r="E190" s="12"/>
      <c r="F190" s="13"/>
      <c r="G190" s="12"/>
    </row>
    <row r="191">
      <c r="A191" s="4"/>
      <c r="B191" s="12"/>
      <c r="C191" s="12"/>
      <c r="D191" s="12"/>
      <c r="E191" s="12"/>
      <c r="F191" s="13"/>
      <c r="G191" s="12"/>
    </row>
    <row r="192">
      <c r="A192" s="4"/>
      <c r="B192" s="12"/>
      <c r="C192" s="12"/>
      <c r="D192" s="12"/>
      <c r="E192" s="12"/>
      <c r="F192" s="13"/>
      <c r="G192" s="12"/>
    </row>
    <row r="193">
      <c r="A193" s="4"/>
      <c r="B193" s="12"/>
      <c r="C193" s="12"/>
      <c r="D193" s="12"/>
      <c r="E193" s="12"/>
      <c r="F193" s="13"/>
      <c r="G193" s="12"/>
    </row>
    <row r="194">
      <c r="A194" s="4"/>
      <c r="B194" s="12"/>
      <c r="C194" s="12"/>
      <c r="D194" s="12"/>
      <c r="E194" s="12"/>
      <c r="F194" s="13"/>
      <c r="G194" s="12"/>
    </row>
    <row r="195">
      <c r="A195" s="4"/>
      <c r="B195" s="12"/>
      <c r="C195" s="12"/>
      <c r="D195" s="12"/>
      <c r="E195" s="12"/>
      <c r="F195" s="13"/>
      <c r="G195" s="12"/>
    </row>
    <row r="196">
      <c r="A196" s="4"/>
      <c r="B196" s="12"/>
      <c r="C196" s="12"/>
      <c r="D196" s="12"/>
      <c r="E196" s="12"/>
      <c r="F196" s="13"/>
      <c r="G196" s="12"/>
    </row>
    <row r="197">
      <c r="A197" s="4"/>
      <c r="B197" s="12"/>
      <c r="C197" s="12"/>
      <c r="D197" s="12"/>
      <c r="E197" s="12"/>
      <c r="F197" s="13"/>
      <c r="G197" s="12"/>
    </row>
    <row r="198">
      <c r="A198" s="4"/>
      <c r="B198" s="12"/>
      <c r="C198" s="12"/>
      <c r="D198" s="12"/>
      <c r="E198" s="12"/>
      <c r="F198" s="13"/>
      <c r="G198" s="12"/>
    </row>
    <row r="199">
      <c r="A199" s="4"/>
      <c r="B199" s="12"/>
      <c r="C199" s="12"/>
      <c r="D199" s="12"/>
      <c r="E199" s="12"/>
      <c r="F199" s="13"/>
      <c r="G199" s="12"/>
    </row>
    <row r="200">
      <c r="A200" s="4"/>
      <c r="B200" s="12"/>
      <c r="C200" s="12"/>
      <c r="D200" s="12"/>
      <c r="E200" s="12"/>
      <c r="F200" s="13"/>
      <c r="G200" s="12"/>
    </row>
    <row r="201">
      <c r="A201" s="4"/>
      <c r="B201" s="12"/>
      <c r="C201" s="12"/>
      <c r="D201" s="12"/>
      <c r="E201" s="12"/>
      <c r="F201" s="13"/>
      <c r="G201" s="12"/>
    </row>
    <row r="202">
      <c r="A202" s="4"/>
      <c r="B202" s="12"/>
      <c r="C202" s="12"/>
      <c r="D202" s="12"/>
      <c r="E202" s="12"/>
      <c r="F202" s="13"/>
      <c r="G202" s="12"/>
    </row>
    <row r="203">
      <c r="A203" s="4"/>
      <c r="B203" s="12"/>
      <c r="C203" s="12"/>
      <c r="D203" s="12"/>
      <c r="E203" s="12"/>
      <c r="F203" s="13"/>
      <c r="G203" s="12"/>
    </row>
    <row r="204">
      <c r="A204" s="4"/>
      <c r="B204" s="12"/>
      <c r="C204" s="12"/>
      <c r="D204" s="12"/>
      <c r="E204" s="12"/>
      <c r="F204" s="13"/>
      <c r="G204" s="12"/>
    </row>
    <row r="205">
      <c r="A205" s="4"/>
      <c r="B205" s="12"/>
      <c r="C205" s="12"/>
      <c r="D205" s="12"/>
      <c r="E205" s="12"/>
      <c r="F205" s="13"/>
      <c r="G205" s="12"/>
    </row>
    <row r="206">
      <c r="A206" s="4"/>
      <c r="B206" s="12"/>
      <c r="C206" s="12"/>
      <c r="D206" s="12"/>
      <c r="E206" s="12"/>
      <c r="F206" s="13"/>
      <c r="G206" s="12"/>
    </row>
    <row r="207">
      <c r="A207" s="4"/>
      <c r="B207" s="12"/>
      <c r="C207" s="12"/>
      <c r="D207" s="12"/>
      <c r="E207" s="12"/>
      <c r="F207" s="13"/>
      <c r="G207" s="12"/>
    </row>
    <row r="208">
      <c r="A208" s="4"/>
      <c r="B208" s="12"/>
      <c r="C208" s="12"/>
      <c r="D208" s="12"/>
      <c r="E208" s="12"/>
      <c r="F208" s="13"/>
      <c r="G208" s="12"/>
    </row>
    <row r="209">
      <c r="A209" s="4"/>
      <c r="B209" s="12"/>
      <c r="C209" s="12"/>
      <c r="D209" s="12"/>
      <c r="E209" s="12"/>
      <c r="F209" s="13"/>
      <c r="G209" s="12"/>
    </row>
    <row r="210">
      <c r="A210" s="4"/>
      <c r="B210" s="12"/>
      <c r="C210" s="12"/>
      <c r="D210" s="12"/>
      <c r="E210" s="12"/>
      <c r="F210" s="13"/>
      <c r="G210" s="12"/>
    </row>
    <row r="211">
      <c r="A211" s="4"/>
      <c r="B211" s="12"/>
      <c r="C211" s="12"/>
      <c r="D211" s="12"/>
      <c r="E211" s="12"/>
      <c r="F211" s="13"/>
      <c r="G211" s="12"/>
    </row>
    <row r="212">
      <c r="A212" s="4"/>
      <c r="B212" s="12"/>
      <c r="C212" s="12"/>
      <c r="D212" s="12"/>
      <c r="E212" s="12"/>
      <c r="F212" s="13"/>
      <c r="G212" s="12"/>
    </row>
    <row r="213">
      <c r="A213" s="4"/>
      <c r="B213" s="12"/>
      <c r="C213" s="12"/>
      <c r="D213" s="12"/>
      <c r="E213" s="12"/>
      <c r="F213" s="13"/>
      <c r="G213" s="12"/>
    </row>
    <row r="214">
      <c r="A214" s="4"/>
      <c r="B214" s="12"/>
      <c r="C214" s="12"/>
      <c r="D214" s="12"/>
      <c r="E214" s="12"/>
      <c r="F214" s="13"/>
      <c r="G214" s="12"/>
    </row>
    <row r="215">
      <c r="A215" s="4"/>
      <c r="B215" s="12"/>
      <c r="C215" s="12"/>
      <c r="D215" s="12"/>
      <c r="E215" s="12"/>
      <c r="F215" s="13"/>
      <c r="G215" s="12"/>
    </row>
    <row r="216">
      <c r="A216" s="4"/>
      <c r="B216" s="12"/>
      <c r="C216" s="12"/>
      <c r="D216" s="12"/>
      <c r="E216" s="12"/>
      <c r="F216" s="13"/>
      <c r="G216" s="12"/>
    </row>
    <row r="217">
      <c r="A217" s="4"/>
      <c r="B217" s="12"/>
      <c r="C217" s="12"/>
      <c r="D217" s="12"/>
      <c r="E217" s="12"/>
      <c r="F217" s="13"/>
      <c r="G217" s="12"/>
    </row>
    <row r="218">
      <c r="A218" s="4"/>
      <c r="B218" s="12"/>
      <c r="C218" s="12"/>
      <c r="D218" s="12"/>
      <c r="E218" s="12"/>
      <c r="F218" s="13"/>
      <c r="G218" s="12"/>
    </row>
    <row r="219">
      <c r="A219" s="4"/>
      <c r="B219" s="12"/>
      <c r="C219" s="12"/>
      <c r="D219" s="12"/>
      <c r="E219" s="12"/>
      <c r="F219" s="13"/>
      <c r="G219" s="12"/>
    </row>
    <row r="220">
      <c r="A220" s="4"/>
      <c r="B220" s="12"/>
      <c r="C220" s="12"/>
      <c r="D220" s="12"/>
      <c r="E220" s="12"/>
      <c r="F220" s="13"/>
      <c r="G220" s="12"/>
    </row>
    <row r="221">
      <c r="A221" s="4"/>
      <c r="B221" s="12"/>
      <c r="C221" s="12"/>
      <c r="D221" s="12"/>
      <c r="E221" s="12"/>
      <c r="F221" s="13"/>
      <c r="G221" s="12"/>
    </row>
    <row r="222">
      <c r="A222" s="4"/>
      <c r="B222" s="12"/>
      <c r="C222" s="12"/>
      <c r="D222" s="12"/>
      <c r="E222" s="12"/>
      <c r="F222" s="13"/>
      <c r="G222" s="12"/>
    </row>
    <row r="223">
      <c r="A223" s="4"/>
      <c r="B223" s="12"/>
      <c r="C223" s="12"/>
      <c r="D223" s="12"/>
      <c r="E223" s="12"/>
      <c r="F223" s="13"/>
      <c r="G223" s="12"/>
    </row>
    <row r="224">
      <c r="A224" s="4"/>
      <c r="B224" s="12"/>
      <c r="C224" s="12"/>
      <c r="D224" s="12"/>
      <c r="E224" s="12"/>
      <c r="F224" s="13"/>
      <c r="G224" s="12"/>
    </row>
    <row r="225">
      <c r="A225" s="4"/>
      <c r="B225" s="12"/>
      <c r="C225" s="12"/>
      <c r="D225" s="12"/>
      <c r="E225" s="12"/>
      <c r="F225" s="13"/>
      <c r="G225" s="12"/>
    </row>
    <row r="226">
      <c r="A226" s="4"/>
      <c r="B226" s="12"/>
      <c r="C226" s="12"/>
      <c r="D226" s="12"/>
      <c r="E226" s="12"/>
      <c r="F226" s="13"/>
      <c r="G226" s="12"/>
    </row>
    <row r="227">
      <c r="A227" s="4"/>
      <c r="B227" s="12"/>
      <c r="C227" s="12"/>
      <c r="D227" s="12"/>
      <c r="E227" s="12"/>
      <c r="F227" s="13"/>
      <c r="G227" s="12"/>
    </row>
    <row r="228">
      <c r="A228" s="4"/>
      <c r="B228" s="12"/>
      <c r="C228" s="12"/>
      <c r="D228" s="12"/>
      <c r="E228" s="12"/>
      <c r="F228" s="13"/>
      <c r="G228" s="12"/>
    </row>
    <row r="229">
      <c r="A229" s="4"/>
      <c r="B229" s="12"/>
      <c r="C229" s="12"/>
      <c r="D229" s="12"/>
      <c r="E229" s="12"/>
      <c r="F229" s="13"/>
      <c r="G229" s="12"/>
    </row>
    <row r="230">
      <c r="A230" s="4"/>
      <c r="B230" s="12"/>
      <c r="C230" s="12"/>
      <c r="D230" s="12"/>
      <c r="E230" s="12"/>
      <c r="F230" s="13"/>
      <c r="G230" s="12"/>
    </row>
    <row r="231">
      <c r="A231" s="4"/>
      <c r="B231" s="12"/>
      <c r="C231" s="12"/>
      <c r="D231" s="12"/>
      <c r="E231" s="12"/>
      <c r="F231" s="13"/>
      <c r="G231" s="12"/>
    </row>
    <row r="232">
      <c r="A232" s="4"/>
      <c r="B232" s="12"/>
      <c r="C232" s="12"/>
      <c r="D232" s="12"/>
      <c r="E232" s="12"/>
      <c r="F232" s="13"/>
      <c r="G232" s="12"/>
    </row>
    <row r="233">
      <c r="A233" s="4"/>
      <c r="B233" s="12"/>
      <c r="C233" s="12"/>
      <c r="D233" s="12"/>
      <c r="E233" s="12"/>
      <c r="F233" s="13"/>
      <c r="G233" s="12"/>
    </row>
    <row r="234">
      <c r="A234" s="4"/>
      <c r="B234" s="12"/>
      <c r="C234" s="12"/>
      <c r="D234" s="12"/>
      <c r="E234" s="12"/>
      <c r="F234" s="13"/>
      <c r="G234" s="12"/>
    </row>
    <row r="235">
      <c r="A235" s="4"/>
      <c r="B235" s="12"/>
      <c r="C235" s="12"/>
      <c r="D235" s="12"/>
      <c r="E235" s="12"/>
      <c r="F235" s="13"/>
      <c r="G235" s="12"/>
    </row>
    <row r="236">
      <c r="A236" s="4"/>
      <c r="B236" s="12"/>
      <c r="C236" s="12"/>
      <c r="D236" s="12"/>
      <c r="E236" s="12"/>
      <c r="F236" s="13"/>
      <c r="G236" s="12"/>
    </row>
    <row r="237">
      <c r="A237" s="4"/>
      <c r="B237" s="12"/>
      <c r="C237" s="12"/>
      <c r="D237" s="12"/>
      <c r="E237" s="12"/>
      <c r="F237" s="13"/>
      <c r="G237" s="12"/>
    </row>
    <row r="238">
      <c r="A238" s="4"/>
      <c r="B238" s="12"/>
      <c r="C238" s="12"/>
      <c r="D238" s="12"/>
      <c r="E238" s="12"/>
      <c r="F238" s="13"/>
      <c r="G238" s="12"/>
    </row>
    <row r="239">
      <c r="A239" s="4"/>
      <c r="B239" s="12"/>
      <c r="C239" s="12"/>
      <c r="D239" s="12"/>
      <c r="E239" s="12"/>
      <c r="F239" s="13"/>
      <c r="G239" s="12"/>
    </row>
    <row r="240">
      <c r="A240" s="4"/>
      <c r="B240" s="12"/>
      <c r="C240" s="12"/>
      <c r="D240" s="12"/>
      <c r="E240" s="12"/>
      <c r="F240" s="13"/>
      <c r="G240" s="12"/>
    </row>
    <row r="241">
      <c r="A241" s="4"/>
      <c r="B241" s="12"/>
      <c r="C241" s="12"/>
      <c r="D241" s="12"/>
      <c r="E241" s="12"/>
      <c r="F241" s="13"/>
      <c r="G241" s="12"/>
    </row>
    <row r="242">
      <c r="A242" s="4"/>
      <c r="B242" s="12"/>
      <c r="C242" s="12"/>
      <c r="D242" s="12"/>
      <c r="E242" s="12"/>
      <c r="F242" s="13"/>
      <c r="G242" s="12"/>
    </row>
    <row r="243">
      <c r="A243" s="4"/>
      <c r="B243" s="12"/>
      <c r="C243" s="12"/>
      <c r="D243" s="12"/>
      <c r="E243" s="12"/>
      <c r="F243" s="13"/>
      <c r="G243" s="12"/>
    </row>
    <row r="244">
      <c r="A244" s="4"/>
      <c r="B244" s="12"/>
      <c r="C244" s="12"/>
      <c r="D244" s="12"/>
      <c r="E244" s="12"/>
      <c r="F244" s="13"/>
      <c r="G244" s="12"/>
    </row>
    <row r="245">
      <c r="A245" s="4"/>
      <c r="B245" s="12"/>
      <c r="C245" s="12"/>
      <c r="D245" s="12"/>
      <c r="E245" s="12"/>
      <c r="F245" s="13"/>
      <c r="G245" s="12"/>
    </row>
    <row r="246">
      <c r="A246" s="4"/>
      <c r="B246" s="12"/>
      <c r="C246" s="12"/>
      <c r="D246" s="12"/>
      <c r="E246" s="12"/>
      <c r="F246" s="13"/>
      <c r="G246" s="12"/>
    </row>
    <row r="247">
      <c r="A247" s="4"/>
      <c r="B247" s="12"/>
      <c r="C247" s="12"/>
      <c r="D247" s="12"/>
      <c r="E247" s="12"/>
      <c r="F247" s="13"/>
      <c r="G247" s="12"/>
    </row>
    <row r="248">
      <c r="A248" s="4"/>
      <c r="B248" s="12"/>
      <c r="C248" s="12"/>
      <c r="D248" s="12"/>
      <c r="E248" s="12"/>
      <c r="F248" s="13"/>
      <c r="G248" s="12"/>
    </row>
    <row r="249">
      <c r="A249" s="4"/>
      <c r="B249" s="12"/>
      <c r="C249" s="12"/>
      <c r="D249" s="12"/>
      <c r="E249" s="12"/>
      <c r="F249" s="13"/>
      <c r="G249" s="12"/>
    </row>
    <row r="250">
      <c r="A250" s="4"/>
      <c r="B250" s="12"/>
      <c r="C250" s="12"/>
      <c r="D250" s="12"/>
      <c r="E250" s="12"/>
      <c r="F250" s="13"/>
      <c r="G250" s="12"/>
    </row>
    <row r="251">
      <c r="A251" s="4"/>
      <c r="B251" s="12"/>
      <c r="C251" s="12"/>
      <c r="D251" s="12"/>
      <c r="E251" s="12"/>
      <c r="F251" s="13"/>
      <c r="G251" s="12"/>
    </row>
    <row r="252">
      <c r="A252" s="4"/>
      <c r="B252" s="12"/>
      <c r="C252" s="12"/>
      <c r="D252" s="12"/>
      <c r="E252" s="12"/>
      <c r="F252" s="13"/>
      <c r="G252" s="12"/>
    </row>
    <row r="253">
      <c r="A253" s="4"/>
      <c r="B253" s="12"/>
      <c r="C253" s="12"/>
      <c r="D253" s="12"/>
      <c r="E253" s="12"/>
      <c r="F253" s="13"/>
      <c r="G253" s="12"/>
    </row>
    <row r="254">
      <c r="A254" s="4"/>
      <c r="B254" s="12"/>
      <c r="C254" s="12"/>
      <c r="D254" s="12"/>
      <c r="E254" s="12"/>
      <c r="F254" s="13"/>
      <c r="G254" s="12"/>
    </row>
    <row r="255">
      <c r="A255" s="4"/>
      <c r="B255" s="12"/>
      <c r="C255" s="12"/>
      <c r="D255" s="12"/>
      <c r="E255" s="12"/>
      <c r="F255" s="13"/>
      <c r="G255" s="12"/>
    </row>
    <row r="256">
      <c r="A256" s="4"/>
      <c r="B256" s="12"/>
      <c r="C256" s="12"/>
      <c r="D256" s="12"/>
      <c r="E256" s="12"/>
      <c r="F256" s="13"/>
      <c r="G256" s="12"/>
    </row>
    <row r="257">
      <c r="A257" s="4"/>
      <c r="B257" s="12"/>
      <c r="C257" s="12"/>
      <c r="D257" s="12"/>
      <c r="E257" s="12"/>
      <c r="F257" s="13"/>
      <c r="G257" s="12"/>
    </row>
    <row r="258">
      <c r="A258" s="4"/>
      <c r="B258" s="12"/>
      <c r="C258" s="12"/>
      <c r="D258" s="12"/>
      <c r="E258" s="12"/>
      <c r="F258" s="13"/>
      <c r="G258" s="12"/>
    </row>
    <row r="259">
      <c r="A259" s="4"/>
      <c r="B259" s="12"/>
      <c r="C259" s="12"/>
      <c r="D259" s="12"/>
      <c r="E259" s="12"/>
      <c r="F259" s="13"/>
      <c r="G259" s="12"/>
    </row>
    <row r="260">
      <c r="A260" s="4"/>
      <c r="B260" s="12"/>
      <c r="C260" s="12"/>
      <c r="D260" s="12"/>
      <c r="E260" s="12"/>
      <c r="F260" s="13"/>
      <c r="G260" s="12"/>
    </row>
    <row r="261">
      <c r="A261" s="4"/>
      <c r="B261" s="12"/>
      <c r="C261" s="12"/>
      <c r="D261" s="12"/>
      <c r="E261" s="12"/>
      <c r="F261" s="13"/>
      <c r="G261" s="12"/>
    </row>
    <row r="262">
      <c r="A262" s="4"/>
      <c r="B262" s="12"/>
      <c r="C262" s="12"/>
      <c r="D262" s="12"/>
      <c r="E262" s="12"/>
      <c r="F262" s="13"/>
      <c r="G262" s="12"/>
    </row>
    <row r="263">
      <c r="A263" s="4"/>
      <c r="B263" s="12"/>
      <c r="C263" s="12"/>
      <c r="D263" s="12"/>
      <c r="E263" s="12"/>
      <c r="F263" s="13"/>
      <c r="G263" s="12"/>
    </row>
    <row r="264">
      <c r="A264" s="4"/>
      <c r="B264" s="12"/>
      <c r="C264" s="12"/>
      <c r="D264" s="12"/>
      <c r="E264" s="12"/>
      <c r="F264" s="13"/>
      <c r="G264" s="12"/>
    </row>
    <row r="265">
      <c r="A265" s="4"/>
      <c r="B265" s="12"/>
      <c r="C265" s="12"/>
      <c r="D265" s="12"/>
      <c r="E265" s="12"/>
      <c r="F265" s="13"/>
      <c r="G265" s="12"/>
    </row>
    <row r="266">
      <c r="A266" s="4"/>
      <c r="B266" s="12"/>
      <c r="C266" s="12"/>
      <c r="D266" s="12"/>
      <c r="E266" s="12"/>
      <c r="F266" s="13"/>
      <c r="G266" s="12"/>
    </row>
    <row r="267">
      <c r="A267" s="4"/>
      <c r="B267" s="12"/>
      <c r="C267" s="12"/>
      <c r="D267" s="12"/>
      <c r="E267" s="12"/>
      <c r="F267" s="13"/>
      <c r="G267" s="12"/>
    </row>
    <row r="268">
      <c r="A268" s="4"/>
      <c r="B268" s="12"/>
      <c r="C268" s="12"/>
      <c r="D268" s="12"/>
      <c r="E268" s="12"/>
      <c r="F268" s="13"/>
      <c r="G268" s="12"/>
    </row>
    <row r="269">
      <c r="A269" s="4"/>
      <c r="B269" s="12"/>
      <c r="C269" s="12"/>
      <c r="D269" s="12"/>
      <c r="E269" s="12"/>
      <c r="F269" s="13"/>
      <c r="G269" s="12"/>
    </row>
    <row r="270">
      <c r="A270" s="4"/>
      <c r="B270" s="12"/>
      <c r="C270" s="12"/>
      <c r="D270" s="12"/>
      <c r="E270" s="12"/>
      <c r="F270" s="13"/>
      <c r="G270" s="12"/>
    </row>
    <row r="271">
      <c r="A271" s="4"/>
      <c r="B271" s="12"/>
      <c r="C271" s="12"/>
      <c r="D271" s="12"/>
      <c r="E271" s="12"/>
      <c r="F271" s="13"/>
      <c r="G271" s="12"/>
    </row>
    <row r="272">
      <c r="A272" s="4"/>
      <c r="B272" s="12"/>
      <c r="C272" s="12"/>
      <c r="D272" s="12"/>
      <c r="E272" s="12"/>
      <c r="F272" s="13"/>
      <c r="G272" s="12"/>
    </row>
    <row r="273">
      <c r="A273" s="4"/>
      <c r="B273" s="12"/>
      <c r="C273" s="12"/>
      <c r="D273" s="12"/>
      <c r="E273" s="12"/>
      <c r="F273" s="13"/>
      <c r="G273" s="12"/>
    </row>
    <row r="274">
      <c r="A274" s="4"/>
      <c r="B274" s="12"/>
      <c r="C274" s="12"/>
      <c r="D274" s="12"/>
      <c r="E274" s="12"/>
      <c r="F274" s="13"/>
      <c r="G274" s="12"/>
    </row>
    <row r="275">
      <c r="A275" s="4"/>
      <c r="B275" s="12"/>
      <c r="C275" s="12"/>
      <c r="D275" s="12"/>
      <c r="E275" s="12"/>
      <c r="F275" s="13"/>
      <c r="G275" s="12"/>
    </row>
    <row r="276">
      <c r="A276" s="4"/>
      <c r="B276" s="12"/>
      <c r="C276" s="12"/>
      <c r="D276" s="12"/>
      <c r="E276" s="12"/>
      <c r="F276" s="13"/>
      <c r="G276" s="12"/>
    </row>
    <row r="277">
      <c r="A277" s="4"/>
      <c r="B277" s="12"/>
      <c r="C277" s="12"/>
      <c r="D277" s="12"/>
      <c r="E277" s="12"/>
      <c r="F277" s="13"/>
      <c r="G277" s="12"/>
    </row>
    <row r="278">
      <c r="A278" s="4"/>
      <c r="B278" s="12"/>
      <c r="C278" s="12"/>
      <c r="D278" s="12"/>
      <c r="E278" s="12"/>
      <c r="F278" s="13"/>
      <c r="G278" s="12"/>
    </row>
    <row r="279">
      <c r="A279" s="4"/>
      <c r="B279" s="12"/>
      <c r="C279" s="12"/>
      <c r="D279" s="12"/>
      <c r="E279" s="12"/>
      <c r="F279" s="13"/>
      <c r="G279" s="12"/>
    </row>
    <row r="280">
      <c r="A280" s="4"/>
      <c r="B280" s="12"/>
      <c r="C280" s="12"/>
      <c r="D280" s="12"/>
      <c r="E280" s="12"/>
      <c r="F280" s="13"/>
      <c r="G280" s="12"/>
    </row>
    <row r="281">
      <c r="A281" s="4"/>
      <c r="B281" s="12"/>
      <c r="C281" s="12"/>
      <c r="D281" s="12"/>
      <c r="E281" s="12"/>
      <c r="F281" s="13"/>
      <c r="G281" s="12"/>
    </row>
    <row r="282">
      <c r="A282" s="4"/>
      <c r="B282" s="12"/>
      <c r="C282" s="12"/>
      <c r="D282" s="12"/>
      <c r="E282" s="12"/>
      <c r="F282" s="13"/>
      <c r="G282" s="12"/>
    </row>
    <row r="283">
      <c r="A283" s="4"/>
      <c r="B283" s="12"/>
      <c r="C283" s="12"/>
      <c r="D283" s="12"/>
      <c r="E283" s="12"/>
      <c r="F283" s="13"/>
      <c r="G283" s="12"/>
    </row>
    <row r="284">
      <c r="A284" s="4"/>
      <c r="B284" s="12"/>
      <c r="C284" s="12"/>
      <c r="D284" s="12"/>
      <c r="E284" s="12"/>
      <c r="F284" s="13"/>
      <c r="G284" s="12"/>
    </row>
    <row r="285">
      <c r="A285" s="4"/>
      <c r="B285" s="12"/>
      <c r="C285" s="12"/>
      <c r="D285" s="12"/>
      <c r="E285" s="12"/>
      <c r="F285" s="13"/>
      <c r="G285" s="12"/>
    </row>
    <row r="286">
      <c r="A286" s="4"/>
      <c r="B286" s="12"/>
      <c r="C286" s="12"/>
      <c r="D286" s="12"/>
      <c r="E286" s="12"/>
      <c r="F286" s="13"/>
      <c r="G286" s="12"/>
    </row>
    <row r="287">
      <c r="A287" s="4"/>
      <c r="B287" s="12"/>
      <c r="C287" s="12"/>
      <c r="D287" s="12"/>
      <c r="E287" s="12"/>
      <c r="F287" s="13"/>
      <c r="G287" s="12"/>
    </row>
    <row r="288">
      <c r="A288" s="4"/>
      <c r="B288" s="12"/>
      <c r="C288" s="12"/>
      <c r="D288" s="12"/>
      <c r="E288" s="12"/>
      <c r="F288" s="13"/>
      <c r="G288" s="12"/>
    </row>
    <row r="289">
      <c r="A289" s="4"/>
      <c r="B289" s="12"/>
      <c r="C289" s="12"/>
      <c r="D289" s="12"/>
      <c r="E289" s="12"/>
      <c r="F289" s="13"/>
      <c r="G289" s="12"/>
    </row>
    <row r="290">
      <c r="A290" s="4"/>
      <c r="B290" s="12"/>
      <c r="C290" s="12"/>
      <c r="D290" s="12"/>
      <c r="E290" s="12"/>
      <c r="F290" s="13"/>
      <c r="G290" s="12"/>
    </row>
    <row r="291">
      <c r="A291" s="4"/>
      <c r="B291" s="12"/>
      <c r="C291" s="12"/>
      <c r="D291" s="12"/>
      <c r="E291" s="12"/>
      <c r="F291" s="13"/>
      <c r="G291" s="12"/>
    </row>
    <row r="292">
      <c r="A292" s="4"/>
      <c r="B292" s="12"/>
      <c r="C292" s="12"/>
      <c r="D292" s="12"/>
      <c r="E292" s="12"/>
      <c r="F292" s="13"/>
      <c r="G292" s="12"/>
    </row>
    <row r="293">
      <c r="A293" s="4"/>
      <c r="B293" s="12"/>
      <c r="C293" s="12"/>
      <c r="D293" s="12"/>
      <c r="E293" s="12"/>
      <c r="F293" s="13"/>
      <c r="G293" s="12"/>
    </row>
    <row r="294">
      <c r="A294" s="4"/>
      <c r="B294" s="12"/>
      <c r="C294" s="12"/>
      <c r="D294" s="12"/>
      <c r="E294" s="12"/>
      <c r="F294" s="13"/>
      <c r="G294" s="12"/>
    </row>
    <row r="295">
      <c r="A295" s="4"/>
      <c r="B295" s="12"/>
      <c r="C295" s="12"/>
      <c r="D295" s="12"/>
      <c r="E295" s="12"/>
      <c r="F295" s="13"/>
      <c r="G295" s="12"/>
    </row>
    <row r="296">
      <c r="A296" s="4"/>
      <c r="B296" s="12"/>
      <c r="C296" s="12"/>
      <c r="D296" s="12"/>
      <c r="E296" s="12"/>
      <c r="F296" s="13"/>
      <c r="G296" s="12"/>
    </row>
    <row r="297">
      <c r="A297" s="4"/>
      <c r="B297" s="12"/>
      <c r="C297" s="12"/>
      <c r="D297" s="12"/>
      <c r="E297" s="12"/>
      <c r="F297" s="13"/>
      <c r="G297" s="12"/>
    </row>
    <row r="298">
      <c r="A298" s="4"/>
      <c r="B298" s="12"/>
      <c r="C298" s="12"/>
      <c r="D298" s="12"/>
      <c r="E298" s="12"/>
      <c r="F298" s="13"/>
      <c r="G298" s="12"/>
    </row>
    <row r="299">
      <c r="A299" s="4"/>
      <c r="B299" s="12"/>
      <c r="C299" s="12"/>
      <c r="D299" s="12"/>
      <c r="E299" s="12"/>
      <c r="F299" s="13"/>
      <c r="G299" s="12"/>
    </row>
    <row r="300">
      <c r="A300" s="4"/>
      <c r="B300" s="12"/>
      <c r="C300" s="12"/>
      <c r="D300" s="12"/>
      <c r="E300" s="12"/>
      <c r="F300" s="13"/>
      <c r="G300" s="12"/>
    </row>
    <row r="301">
      <c r="A301" s="4"/>
      <c r="B301" s="12"/>
      <c r="C301" s="12"/>
      <c r="D301" s="12"/>
      <c r="E301" s="12"/>
      <c r="F301" s="13"/>
      <c r="G301" s="12"/>
    </row>
    <row r="302">
      <c r="A302" s="4"/>
      <c r="B302" s="12"/>
      <c r="C302" s="12"/>
      <c r="D302" s="12"/>
      <c r="E302" s="12"/>
      <c r="F302" s="13"/>
      <c r="G302" s="12"/>
    </row>
    <row r="303">
      <c r="A303" s="4"/>
      <c r="B303" s="12"/>
      <c r="C303" s="12"/>
      <c r="D303" s="12"/>
      <c r="E303" s="12"/>
      <c r="F303" s="13"/>
      <c r="G303" s="12"/>
    </row>
    <row r="304">
      <c r="A304" s="4"/>
      <c r="B304" s="12"/>
      <c r="C304" s="12"/>
      <c r="D304" s="12"/>
      <c r="E304" s="12"/>
      <c r="F304" s="13"/>
      <c r="G304" s="12"/>
    </row>
    <row r="305">
      <c r="A305" s="4"/>
      <c r="B305" s="12"/>
      <c r="C305" s="12"/>
      <c r="D305" s="12"/>
      <c r="E305" s="12"/>
      <c r="F305" s="13"/>
      <c r="G305" s="12"/>
    </row>
    <row r="306">
      <c r="A306" s="4"/>
      <c r="B306" s="12"/>
      <c r="C306" s="12"/>
      <c r="D306" s="12"/>
      <c r="E306" s="12"/>
      <c r="F306" s="13"/>
      <c r="G306" s="12"/>
    </row>
    <row r="307">
      <c r="A307" s="4"/>
      <c r="B307" s="12"/>
      <c r="C307" s="12"/>
      <c r="D307" s="12"/>
      <c r="E307" s="12"/>
      <c r="F307" s="13"/>
      <c r="G307" s="12"/>
    </row>
    <row r="308">
      <c r="A308" s="4"/>
      <c r="B308" s="12"/>
      <c r="C308" s="12"/>
      <c r="D308" s="12"/>
      <c r="E308" s="12"/>
      <c r="F308" s="13"/>
      <c r="G308" s="12"/>
    </row>
    <row r="309">
      <c r="A309" s="4"/>
      <c r="B309" s="12"/>
      <c r="C309" s="12"/>
      <c r="D309" s="12"/>
      <c r="E309" s="12"/>
      <c r="F309" s="13"/>
      <c r="G309" s="12"/>
    </row>
    <row r="310">
      <c r="A310" s="4"/>
      <c r="B310" s="12"/>
      <c r="C310" s="12"/>
      <c r="D310" s="12"/>
      <c r="E310" s="12"/>
      <c r="F310" s="13"/>
      <c r="G310" s="12"/>
    </row>
    <row r="311">
      <c r="A311" s="4"/>
      <c r="B311" s="12"/>
      <c r="C311" s="12"/>
      <c r="D311" s="12"/>
      <c r="E311" s="12"/>
      <c r="F311" s="13"/>
      <c r="G311" s="12"/>
    </row>
    <row r="312">
      <c r="A312" s="4"/>
      <c r="B312" s="12"/>
      <c r="C312" s="12"/>
      <c r="D312" s="12"/>
      <c r="E312" s="12"/>
      <c r="F312" s="13"/>
      <c r="G312" s="12"/>
    </row>
    <row r="313">
      <c r="A313" s="4"/>
      <c r="B313" s="12"/>
      <c r="C313" s="12"/>
      <c r="D313" s="12"/>
      <c r="E313" s="12"/>
      <c r="F313" s="13"/>
      <c r="G313" s="12"/>
    </row>
    <row r="314">
      <c r="A314" s="4"/>
      <c r="B314" s="12"/>
      <c r="C314" s="12"/>
      <c r="D314" s="12"/>
      <c r="E314" s="12"/>
      <c r="F314" s="13"/>
      <c r="G314" s="12"/>
    </row>
    <row r="315">
      <c r="A315" s="4"/>
      <c r="B315" s="12"/>
      <c r="C315" s="12"/>
      <c r="D315" s="12"/>
      <c r="E315" s="12"/>
      <c r="F315" s="13"/>
      <c r="G315" s="12"/>
    </row>
    <row r="316">
      <c r="A316" s="4"/>
      <c r="B316" s="12"/>
      <c r="C316" s="12"/>
      <c r="D316" s="12"/>
      <c r="E316" s="12"/>
      <c r="F316" s="13"/>
      <c r="G316" s="12"/>
    </row>
    <row r="317">
      <c r="A317" s="4"/>
      <c r="B317" s="12"/>
      <c r="C317" s="12"/>
      <c r="D317" s="12"/>
      <c r="E317" s="12"/>
      <c r="F317" s="13"/>
      <c r="G317" s="12"/>
    </row>
    <row r="318">
      <c r="A318" s="4"/>
      <c r="B318" s="12"/>
      <c r="C318" s="12"/>
      <c r="D318" s="12"/>
      <c r="E318" s="12"/>
      <c r="F318" s="13"/>
      <c r="G318" s="12"/>
    </row>
    <row r="319">
      <c r="A319" s="4"/>
      <c r="B319" s="12"/>
      <c r="C319" s="12"/>
      <c r="D319" s="12"/>
      <c r="E319" s="12"/>
      <c r="F319" s="13"/>
      <c r="G319" s="12"/>
    </row>
    <row r="320">
      <c r="A320" s="4"/>
      <c r="B320" s="12"/>
      <c r="C320" s="12"/>
      <c r="D320" s="12"/>
      <c r="E320" s="12"/>
      <c r="F320" s="13"/>
      <c r="G320" s="12"/>
    </row>
    <row r="321">
      <c r="A321" s="4"/>
      <c r="B321" s="12"/>
      <c r="C321" s="12"/>
      <c r="D321" s="12"/>
      <c r="E321" s="12"/>
      <c r="F321" s="13"/>
      <c r="G321" s="12"/>
    </row>
    <row r="322">
      <c r="A322" s="4"/>
      <c r="B322" s="12"/>
      <c r="C322" s="12"/>
      <c r="D322" s="12"/>
      <c r="E322" s="12"/>
      <c r="F322" s="13"/>
      <c r="G322" s="12"/>
    </row>
    <row r="323">
      <c r="A323" s="4"/>
      <c r="B323" s="12"/>
      <c r="C323" s="12"/>
      <c r="D323" s="12"/>
      <c r="E323" s="12"/>
      <c r="F323" s="13"/>
      <c r="G323" s="12"/>
    </row>
    <row r="324">
      <c r="A324" s="4"/>
      <c r="B324" s="12"/>
      <c r="C324" s="12"/>
      <c r="D324" s="12"/>
      <c r="E324" s="12"/>
      <c r="F324" s="13"/>
      <c r="G324" s="12"/>
    </row>
    <row r="325">
      <c r="A325" s="4"/>
      <c r="B325" s="12"/>
      <c r="C325" s="12"/>
      <c r="D325" s="12"/>
      <c r="E325" s="12"/>
      <c r="F325" s="13"/>
      <c r="G325" s="12"/>
    </row>
    <row r="326">
      <c r="A326" s="4"/>
      <c r="B326" s="12"/>
      <c r="C326" s="12"/>
      <c r="D326" s="12"/>
      <c r="E326" s="12"/>
      <c r="F326" s="13"/>
      <c r="G326" s="12"/>
    </row>
    <row r="327">
      <c r="A327" s="4"/>
      <c r="B327" s="12"/>
      <c r="C327" s="12"/>
      <c r="D327" s="12"/>
      <c r="E327" s="12"/>
      <c r="F327" s="13"/>
      <c r="G327" s="12"/>
    </row>
    <row r="328">
      <c r="A328" s="4"/>
      <c r="B328" s="12"/>
      <c r="C328" s="12"/>
      <c r="D328" s="12"/>
      <c r="E328" s="12"/>
      <c r="F328" s="13"/>
      <c r="G328" s="12"/>
    </row>
    <row r="329">
      <c r="A329" s="4"/>
      <c r="B329" s="12"/>
      <c r="C329" s="12"/>
      <c r="D329" s="12"/>
      <c r="E329" s="12"/>
      <c r="F329" s="13"/>
      <c r="G329" s="12"/>
    </row>
    <row r="330">
      <c r="A330" s="4"/>
      <c r="B330" s="12"/>
      <c r="C330" s="12"/>
      <c r="D330" s="12"/>
      <c r="E330" s="12"/>
      <c r="F330" s="13"/>
      <c r="G330" s="12"/>
    </row>
    <row r="331">
      <c r="A331" s="4"/>
      <c r="B331" s="12"/>
      <c r="C331" s="12"/>
      <c r="D331" s="12"/>
      <c r="E331" s="12"/>
      <c r="F331" s="13"/>
      <c r="G331" s="12"/>
    </row>
    <row r="332">
      <c r="A332" s="4"/>
      <c r="B332" s="12"/>
      <c r="C332" s="12"/>
      <c r="D332" s="12"/>
      <c r="E332" s="12"/>
      <c r="F332" s="13"/>
      <c r="G332" s="12"/>
    </row>
    <row r="333">
      <c r="A333" s="4"/>
      <c r="B333" s="12"/>
      <c r="C333" s="12"/>
      <c r="D333" s="12"/>
      <c r="E333" s="12"/>
      <c r="F333" s="13"/>
      <c r="G333" s="12"/>
    </row>
    <row r="334">
      <c r="A334" s="4"/>
      <c r="B334" s="12"/>
      <c r="C334" s="12"/>
      <c r="D334" s="12"/>
      <c r="E334" s="12"/>
      <c r="F334" s="13"/>
      <c r="G334" s="12"/>
    </row>
    <row r="335">
      <c r="A335" s="4"/>
      <c r="B335" s="12"/>
      <c r="C335" s="12"/>
      <c r="D335" s="12"/>
      <c r="E335" s="12"/>
      <c r="F335" s="13"/>
      <c r="G335" s="12"/>
    </row>
    <row r="336">
      <c r="A336" s="4"/>
      <c r="B336" s="12"/>
      <c r="C336" s="12"/>
      <c r="D336" s="12"/>
      <c r="E336" s="12"/>
      <c r="F336" s="13"/>
      <c r="G336" s="12"/>
    </row>
    <row r="337">
      <c r="A337" s="4"/>
      <c r="B337" s="12"/>
      <c r="C337" s="12"/>
      <c r="D337" s="12"/>
      <c r="E337" s="12"/>
      <c r="F337" s="13"/>
      <c r="G337" s="12"/>
    </row>
    <row r="338">
      <c r="A338" s="4"/>
      <c r="B338" s="12"/>
      <c r="C338" s="12"/>
      <c r="D338" s="12"/>
      <c r="E338" s="12"/>
      <c r="F338" s="13"/>
      <c r="G338" s="12"/>
    </row>
    <row r="339">
      <c r="A339" s="4"/>
      <c r="B339" s="12"/>
      <c r="C339" s="12"/>
      <c r="D339" s="12"/>
      <c r="E339" s="12"/>
      <c r="F339" s="13"/>
      <c r="G339" s="12"/>
    </row>
    <row r="340">
      <c r="A340" s="4"/>
      <c r="B340" s="12"/>
      <c r="C340" s="12"/>
      <c r="D340" s="12"/>
      <c r="E340" s="12"/>
      <c r="F340" s="13"/>
      <c r="G340" s="12"/>
    </row>
    <row r="341">
      <c r="A341" s="4"/>
      <c r="B341" s="12"/>
      <c r="C341" s="12"/>
      <c r="D341" s="12"/>
      <c r="E341" s="12"/>
      <c r="F341" s="13"/>
      <c r="G341" s="12"/>
    </row>
    <row r="342">
      <c r="A342" s="4"/>
      <c r="B342" s="12"/>
      <c r="C342" s="12"/>
      <c r="D342" s="12"/>
      <c r="E342" s="12"/>
      <c r="F342" s="13"/>
      <c r="G342" s="12"/>
    </row>
    <row r="343">
      <c r="A343" s="4"/>
      <c r="B343" s="12"/>
      <c r="C343" s="12"/>
      <c r="D343" s="12"/>
      <c r="E343" s="12"/>
      <c r="F343" s="13"/>
      <c r="G343" s="12"/>
    </row>
    <row r="344">
      <c r="A344" s="4"/>
      <c r="B344" s="12"/>
      <c r="C344" s="12"/>
      <c r="D344" s="12"/>
      <c r="E344" s="12"/>
      <c r="F344" s="13"/>
      <c r="G344" s="12"/>
    </row>
    <row r="345">
      <c r="A345" s="4"/>
      <c r="B345" s="12"/>
      <c r="C345" s="12"/>
      <c r="D345" s="12"/>
      <c r="E345" s="12"/>
      <c r="F345" s="13"/>
      <c r="G345" s="12"/>
    </row>
    <row r="346">
      <c r="A346" s="4"/>
      <c r="B346" s="12"/>
      <c r="C346" s="12"/>
      <c r="D346" s="12"/>
      <c r="E346" s="12"/>
      <c r="F346" s="13"/>
      <c r="G346" s="12"/>
    </row>
    <row r="347">
      <c r="A347" s="4"/>
      <c r="B347" s="12"/>
      <c r="C347" s="12"/>
      <c r="D347" s="12"/>
      <c r="E347" s="12"/>
      <c r="F347" s="13"/>
      <c r="G347" s="12"/>
    </row>
    <row r="348">
      <c r="A348" s="4"/>
      <c r="B348" s="12"/>
      <c r="C348" s="12"/>
      <c r="D348" s="12"/>
      <c r="E348" s="12"/>
      <c r="F348" s="13"/>
      <c r="G348" s="12"/>
    </row>
    <row r="349">
      <c r="A349" s="4"/>
      <c r="B349" s="12"/>
      <c r="C349" s="12"/>
      <c r="D349" s="12"/>
      <c r="E349" s="12"/>
      <c r="F349" s="13"/>
      <c r="G349" s="12"/>
    </row>
    <row r="350">
      <c r="A350" s="4"/>
      <c r="B350" s="12"/>
      <c r="C350" s="12"/>
      <c r="D350" s="12"/>
      <c r="E350" s="12"/>
      <c r="F350" s="13"/>
      <c r="G350" s="12"/>
    </row>
    <row r="351">
      <c r="A351" s="4"/>
      <c r="B351" s="12"/>
      <c r="C351" s="12"/>
      <c r="D351" s="12"/>
      <c r="E351" s="12"/>
      <c r="F351" s="13"/>
      <c r="G351" s="12"/>
    </row>
    <row r="352">
      <c r="A352" s="4"/>
      <c r="B352" s="12"/>
      <c r="C352" s="12"/>
      <c r="D352" s="12"/>
      <c r="E352" s="12"/>
      <c r="F352" s="13"/>
      <c r="G352" s="12"/>
    </row>
    <row r="353">
      <c r="A353" s="4"/>
      <c r="B353" s="12"/>
      <c r="C353" s="12"/>
      <c r="D353" s="12"/>
      <c r="E353" s="12"/>
      <c r="F353" s="13"/>
      <c r="G353" s="12"/>
    </row>
    <row r="354">
      <c r="A354" s="4"/>
      <c r="B354" s="12"/>
      <c r="C354" s="12"/>
      <c r="D354" s="12"/>
      <c r="E354" s="12"/>
      <c r="F354" s="13"/>
      <c r="G354" s="12"/>
    </row>
    <row r="355">
      <c r="A355" s="4"/>
      <c r="B355" s="12"/>
      <c r="C355" s="12"/>
      <c r="D355" s="12"/>
      <c r="E355" s="12"/>
      <c r="F355" s="13"/>
      <c r="G355" s="12"/>
    </row>
    <row r="356">
      <c r="A356" s="4"/>
      <c r="B356" s="12"/>
      <c r="C356" s="12"/>
      <c r="D356" s="12"/>
      <c r="E356" s="12"/>
      <c r="F356" s="13"/>
      <c r="G356" s="12"/>
    </row>
    <row r="357">
      <c r="A357" s="4"/>
      <c r="B357" s="12"/>
      <c r="C357" s="12"/>
      <c r="D357" s="12"/>
      <c r="E357" s="12"/>
      <c r="F357" s="13"/>
      <c r="G357" s="12"/>
    </row>
    <row r="358">
      <c r="A358" s="4"/>
      <c r="B358" s="12"/>
      <c r="C358" s="12"/>
      <c r="D358" s="12"/>
      <c r="E358" s="12"/>
      <c r="F358" s="13"/>
      <c r="G358" s="12"/>
    </row>
    <row r="359">
      <c r="A359" s="4"/>
      <c r="B359" s="12"/>
      <c r="C359" s="12"/>
      <c r="D359" s="12"/>
      <c r="E359" s="12"/>
      <c r="F359" s="13"/>
      <c r="G359" s="12"/>
    </row>
    <row r="360">
      <c r="A360" s="4"/>
      <c r="B360" s="12"/>
      <c r="C360" s="12"/>
      <c r="D360" s="12"/>
      <c r="E360" s="12"/>
      <c r="F360" s="13"/>
      <c r="G360" s="12"/>
    </row>
    <row r="361">
      <c r="A361" s="4"/>
      <c r="B361" s="12"/>
      <c r="C361" s="12"/>
      <c r="D361" s="12"/>
      <c r="E361" s="12"/>
      <c r="F361" s="13"/>
      <c r="G361" s="12"/>
    </row>
    <row r="362">
      <c r="A362" s="4"/>
      <c r="B362" s="12"/>
      <c r="C362" s="12"/>
      <c r="D362" s="12"/>
      <c r="E362" s="12"/>
      <c r="F362" s="13"/>
      <c r="G362" s="12"/>
    </row>
    <row r="363">
      <c r="A363" s="4"/>
      <c r="B363" s="12"/>
      <c r="C363" s="12"/>
      <c r="D363" s="12"/>
      <c r="E363" s="12"/>
      <c r="F363" s="13"/>
      <c r="G363" s="12"/>
    </row>
    <row r="364">
      <c r="A364" s="4"/>
      <c r="B364" s="12"/>
      <c r="C364" s="12"/>
      <c r="D364" s="12"/>
      <c r="E364" s="12"/>
      <c r="F364" s="13"/>
      <c r="G364" s="12"/>
    </row>
    <row r="365">
      <c r="A365" s="4"/>
      <c r="B365" s="12"/>
      <c r="C365" s="12"/>
      <c r="D365" s="12"/>
      <c r="E365" s="12"/>
      <c r="F365" s="13"/>
      <c r="G365" s="12"/>
    </row>
    <row r="366">
      <c r="A366" s="4"/>
      <c r="B366" s="12"/>
      <c r="C366" s="12"/>
      <c r="D366" s="12"/>
      <c r="E366" s="12"/>
      <c r="F366" s="13"/>
      <c r="G366" s="12"/>
    </row>
    <row r="367">
      <c r="A367" s="4"/>
      <c r="B367" s="12"/>
      <c r="C367" s="12"/>
      <c r="D367" s="12"/>
      <c r="E367" s="12"/>
      <c r="F367" s="13"/>
      <c r="G367" s="12"/>
    </row>
    <row r="368">
      <c r="A368" s="4"/>
      <c r="B368" s="12"/>
      <c r="C368" s="12"/>
      <c r="D368" s="12"/>
      <c r="E368" s="12"/>
      <c r="F368" s="13"/>
      <c r="G368" s="12"/>
    </row>
    <row r="369">
      <c r="A369" s="4"/>
      <c r="B369" s="12"/>
      <c r="C369" s="12"/>
      <c r="D369" s="12"/>
      <c r="E369" s="12"/>
      <c r="F369" s="13"/>
      <c r="G369" s="12"/>
    </row>
    <row r="370">
      <c r="A370" s="4"/>
      <c r="B370" s="12"/>
      <c r="C370" s="12"/>
      <c r="D370" s="12"/>
      <c r="E370" s="12"/>
      <c r="F370" s="13"/>
      <c r="G370" s="12"/>
    </row>
    <row r="371">
      <c r="A371" s="4"/>
      <c r="B371" s="12"/>
      <c r="C371" s="12"/>
      <c r="D371" s="12"/>
      <c r="E371" s="12"/>
      <c r="F371" s="13"/>
      <c r="G371" s="12"/>
    </row>
    <row r="372">
      <c r="A372" s="4"/>
      <c r="B372" s="12"/>
      <c r="C372" s="12"/>
      <c r="D372" s="12"/>
      <c r="E372" s="12"/>
      <c r="F372" s="13"/>
      <c r="G372" s="12"/>
    </row>
    <row r="373">
      <c r="A373" s="4"/>
      <c r="B373" s="12"/>
      <c r="C373" s="12"/>
      <c r="D373" s="12"/>
      <c r="E373" s="12"/>
      <c r="F373" s="13"/>
      <c r="G373" s="12"/>
    </row>
    <row r="374">
      <c r="A374" s="4"/>
      <c r="B374" s="12"/>
      <c r="C374" s="12"/>
      <c r="D374" s="12"/>
      <c r="E374" s="12"/>
      <c r="F374" s="13"/>
      <c r="G374" s="12"/>
    </row>
    <row r="375">
      <c r="A375" s="4"/>
      <c r="B375" s="12"/>
      <c r="C375" s="12"/>
      <c r="D375" s="12"/>
      <c r="E375" s="12"/>
      <c r="F375" s="13"/>
      <c r="G375" s="12"/>
    </row>
    <row r="376">
      <c r="A376" s="4"/>
      <c r="B376" s="12"/>
      <c r="C376" s="12"/>
      <c r="D376" s="12"/>
      <c r="E376" s="12"/>
      <c r="F376" s="13"/>
      <c r="G376" s="12"/>
    </row>
    <row r="377">
      <c r="A377" s="4"/>
      <c r="B377" s="12"/>
      <c r="C377" s="12"/>
      <c r="D377" s="12"/>
      <c r="E377" s="12"/>
      <c r="F377" s="13"/>
      <c r="G377" s="12"/>
    </row>
    <row r="378">
      <c r="A378" s="4"/>
      <c r="B378" s="12"/>
      <c r="C378" s="12"/>
      <c r="D378" s="12"/>
      <c r="E378" s="12"/>
      <c r="F378" s="13"/>
      <c r="G378" s="12"/>
    </row>
    <row r="379">
      <c r="A379" s="4"/>
      <c r="B379" s="12"/>
      <c r="C379" s="12"/>
      <c r="D379" s="12"/>
      <c r="E379" s="12"/>
      <c r="F379" s="13"/>
      <c r="G379" s="12"/>
    </row>
    <row r="380">
      <c r="A380" s="4"/>
      <c r="B380" s="12"/>
      <c r="C380" s="12"/>
      <c r="D380" s="12"/>
      <c r="E380" s="12"/>
      <c r="F380" s="13"/>
      <c r="G380" s="12"/>
    </row>
    <row r="381">
      <c r="A381" s="4"/>
      <c r="B381" s="12"/>
      <c r="C381" s="12"/>
      <c r="D381" s="12"/>
      <c r="E381" s="12"/>
      <c r="F381" s="13"/>
      <c r="G381" s="12"/>
    </row>
    <row r="382">
      <c r="A382" s="4"/>
      <c r="B382" s="12"/>
      <c r="C382" s="12"/>
      <c r="D382" s="12"/>
      <c r="E382" s="12"/>
      <c r="F382" s="13"/>
      <c r="G382" s="12"/>
    </row>
    <row r="383">
      <c r="A383" s="4"/>
      <c r="B383" s="12"/>
      <c r="C383" s="12"/>
      <c r="D383" s="12"/>
      <c r="E383" s="12"/>
      <c r="F383" s="13"/>
      <c r="G383" s="12"/>
    </row>
    <row r="384">
      <c r="A384" s="4"/>
      <c r="B384" s="12"/>
      <c r="C384" s="12"/>
      <c r="D384" s="12"/>
      <c r="E384" s="12"/>
      <c r="F384" s="13"/>
      <c r="G384" s="12"/>
    </row>
    <row r="385">
      <c r="A385" s="4"/>
      <c r="B385" s="12"/>
      <c r="C385" s="12"/>
      <c r="D385" s="12"/>
      <c r="E385" s="12"/>
      <c r="F385" s="13"/>
      <c r="G385" s="12"/>
    </row>
    <row r="386">
      <c r="A386" s="4"/>
      <c r="B386" s="12"/>
      <c r="C386" s="12"/>
      <c r="D386" s="12"/>
      <c r="E386" s="12"/>
      <c r="F386" s="13"/>
      <c r="G386" s="12"/>
    </row>
    <row r="387">
      <c r="A387" s="4"/>
      <c r="B387" s="12"/>
      <c r="C387" s="12"/>
      <c r="D387" s="12"/>
      <c r="E387" s="12"/>
      <c r="F387" s="13"/>
      <c r="G387" s="12"/>
    </row>
    <row r="388">
      <c r="A388" s="4"/>
      <c r="B388" s="12"/>
      <c r="C388" s="12"/>
      <c r="D388" s="12"/>
      <c r="E388" s="12"/>
      <c r="F388" s="13"/>
      <c r="G388" s="12"/>
    </row>
    <row r="389">
      <c r="A389" s="4"/>
      <c r="B389" s="12"/>
      <c r="C389" s="12"/>
      <c r="D389" s="12"/>
      <c r="E389" s="12"/>
      <c r="F389" s="13"/>
      <c r="G389" s="12"/>
    </row>
    <row r="390">
      <c r="A390" s="4"/>
      <c r="B390" s="12"/>
      <c r="C390" s="12"/>
      <c r="D390" s="12"/>
      <c r="E390" s="12"/>
      <c r="F390" s="13"/>
      <c r="G390" s="12"/>
    </row>
    <row r="391">
      <c r="A391" s="4"/>
      <c r="B391" s="12"/>
      <c r="C391" s="12"/>
      <c r="D391" s="12"/>
      <c r="E391" s="12"/>
      <c r="F391" s="13"/>
      <c r="G391" s="12"/>
    </row>
    <row r="392">
      <c r="A392" s="4"/>
      <c r="B392" s="12"/>
      <c r="C392" s="12"/>
      <c r="D392" s="12"/>
      <c r="E392" s="12"/>
      <c r="F392" s="13"/>
      <c r="G392" s="12"/>
    </row>
    <row r="393">
      <c r="A393" s="4"/>
      <c r="B393" s="12"/>
      <c r="C393" s="12"/>
      <c r="D393" s="12"/>
      <c r="E393" s="12"/>
      <c r="F393" s="13"/>
      <c r="G393" s="12"/>
    </row>
    <row r="394">
      <c r="A394" s="4"/>
      <c r="B394" s="12"/>
      <c r="C394" s="12"/>
      <c r="D394" s="12"/>
      <c r="E394" s="12"/>
      <c r="F394" s="13"/>
      <c r="G394" s="12"/>
    </row>
    <row r="395">
      <c r="A395" s="4"/>
      <c r="B395" s="12"/>
      <c r="C395" s="12"/>
      <c r="D395" s="12"/>
      <c r="E395" s="12"/>
      <c r="F395" s="13"/>
      <c r="G395" s="12"/>
    </row>
    <row r="396">
      <c r="A396" s="4"/>
      <c r="B396" s="12"/>
      <c r="C396" s="12"/>
      <c r="D396" s="12"/>
      <c r="E396" s="12"/>
      <c r="F396" s="13"/>
      <c r="G396" s="12"/>
    </row>
    <row r="397">
      <c r="A397" s="4"/>
      <c r="B397" s="12"/>
      <c r="C397" s="12"/>
      <c r="D397" s="12"/>
      <c r="E397" s="12"/>
      <c r="F397" s="13"/>
      <c r="G397" s="12"/>
    </row>
    <row r="398">
      <c r="A398" s="4"/>
      <c r="B398" s="12"/>
      <c r="C398" s="12"/>
      <c r="D398" s="12"/>
      <c r="E398" s="12"/>
      <c r="F398" s="13"/>
      <c r="G398" s="12"/>
    </row>
    <row r="399">
      <c r="A399" s="4"/>
      <c r="B399" s="12"/>
      <c r="C399" s="12"/>
      <c r="D399" s="12"/>
      <c r="E399" s="12"/>
      <c r="F399" s="13"/>
      <c r="G399" s="12"/>
    </row>
    <row r="400">
      <c r="A400" s="4"/>
      <c r="B400" s="12"/>
      <c r="C400" s="12"/>
      <c r="D400" s="12"/>
      <c r="E400" s="12"/>
      <c r="F400" s="13"/>
      <c r="G400" s="12"/>
    </row>
    <row r="401">
      <c r="A401" s="4"/>
      <c r="B401" s="12"/>
      <c r="C401" s="12"/>
      <c r="D401" s="12"/>
      <c r="E401" s="12"/>
      <c r="F401" s="13"/>
      <c r="G401" s="12"/>
    </row>
    <row r="402">
      <c r="A402" s="4"/>
      <c r="B402" s="12"/>
      <c r="C402" s="12"/>
      <c r="D402" s="12"/>
      <c r="E402" s="12"/>
      <c r="F402" s="13"/>
      <c r="G402" s="12"/>
    </row>
    <row r="403">
      <c r="A403" s="4"/>
      <c r="B403" s="12"/>
      <c r="C403" s="12"/>
      <c r="D403" s="12"/>
      <c r="E403" s="12"/>
      <c r="F403" s="13"/>
      <c r="G403" s="12"/>
    </row>
    <row r="404">
      <c r="A404" s="4"/>
      <c r="B404" s="12"/>
      <c r="C404" s="12"/>
      <c r="D404" s="12"/>
      <c r="E404" s="12"/>
      <c r="F404" s="13"/>
      <c r="G404" s="12"/>
    </row>
    <row r="405">
      <c r="A405" s="4"/>
      <c r="B405" s="12"/>
      <c r="C405" s="12"/>
      <c r="D405" s="12"/>
      <c r="E405" s="12"/>
      <c r="F405" s="13"/>
      <c r="G405" s="12"/>
    </row>
    <row r="406">
      <c r="A406" s="4"/>
      <c r="B406" s="12"/>
      <c r="C406" s="12"/>
      <c r="D406" s="12"/>
      <c r="E406" s="12"/>
      <c r="F406" s="13"/>
      <c r="G406" s="12"/>
    </row>
    <row r="407">
      <c r="A407" s="4"/>
      <c r="B407" s="12"/>
      <c r="C407" s="12"/>
      <c r="D407" s="12"/>
      <c r="E407" s="12"/>
      <c r="F407" s="13"/>
      <c r="G407" s="12"/>
    </row>
    <row r="408">
      <c r="A408" s="4"/>
      <c r="B408" s="12"/>
      <c r="C408" s="12"/>
      <c r="D408" s="12"/>
      <c r="E408" s="12"/>
      <c r="F408" s="13"/>
      <c r="G408" s="12"/>
    </row>
    <row r="409">
      <c r="A409" s="4"/>
      <c r="B409" s="12"/>
      <c r="C409" s="12"/>
      <c r="D409" s="12"/>
      <c r="E409" s="12"/>
      <c r="F409" s="13"/>
      <c r="G409" s="12"/>
    </row>
    <row r="410">
      <c r="A410" s="4"/>
      <c r="B410" s="12"/>
      <c r="C410" s="12"/>
      <c r="D410" s="12"/>
      <c r="E410" s="12"/>
      <c r="F410" s="13"/>
      <c r="G410" s="12"/>
    </row>
    <row r="411">
      <c r="A411" s="4"/>
      <c r="B411" s="12"/>
      <c r="C411" s="12"/>
      <c r="D411" s="12"/>
      <c r="E411" s="12"/>
      <c r="F411" s="13"/>
      <c r="G411" s="12"/>
    </row>
    <row r="412">
      <c r="A412" s="4"/>
      <c r="B412" s="12"/>
      <c r="C412" s="12"/>
      <c r="D412" s="12"/>
      <c r="E412" s="12"/>
      <c r="F412" s="13"/>
      <c r="G412" s="12"/>
    </row>
    <row r="413">
      <c r="A413" s="4"/>
      <c r="B413" s="12"/>
      <c r="C413" s="12"/>
      <c r="D413" s="12"/>
      <c r="E413" s="12"/>
      <c r="F413" s="13"/>
      <c r="G413" s="12"/>
    </row>
    <row r="414">
      <c r="A414" s="4"/>
      <c r="B414" s="12"/>
      <c r="C414" s="12"/>
      <c r="D414" s="12"/>
      <c r="E414" s="12"/>
      <c r="F414" s="13"/>
      <c r="G414" s="12"/>
    </row>
    <row r="415">
      <c r="A415" s="4"/>
      <c r="B415" s="12"/>
      <c r="C415" s="12"/>
      <c r="D415" s="12"/>
      <c r="E415" s="12"/>
      <c r="F415" s="13"/>
      <c r="G415" s="12"/>
    </row>
    <row r="416">
      <c r="A416" s="4"/>
      <c r="B416" s="12"/>
      <c r="C416" s="12"/>
      <c r="D416" s="12"/>
      <c r="E416" s="12"/>
      <c r="F416" s="13"/>
      <c r="G416" s="12"/>
    </row>
    <row r="417">
      <c r="A417" s="4"/>
      <c r="B417" s="12"/>
      <c r="C417" s="12"/>
      <c r="D417" s="12"/>
      <c r="E417" s="12"/>
      <c r="F417" s="13"/>
      <c r="G417" s="12"/>
    </row>
    <row r="418">
      <c r="A418" s="4"/>
      <c r="B418" s="12"/>
      <c r="C418" s="12"/>
      <c r="D418" s="12"/>
      <c r="E418" s="12"/>
      <c r="F418" s="13"/>
      <c r="G418" s="12"/>
    </row>
    <row r="419">
      <c r="A419" s="4"/>
      <c r="B419" s="12"/>
      <c r="C419" s="12"/>
      <c r="D419" s="12"/>
      <c r="E419" s="12"/>
      <c r="F419" s="13"/>
      <c r="G419" s="12"/>
    </row>
    <row r="420">
      <c r="A420" s="4"/>
      <c r="B420" s="12"/>
      <c r="C420" s="12"/>
      <c r="D420" s="12"/>
      <c r="E420" s="12"/>
      <c r="F420" s="13"/>
      <c r="G420" s="12"/>
    </row>
    <row r="421">
      <c r="A421" s="4"/>
      <c r="B421" s="12"/>
      <c r="C421" s="12"/>
      <c r="D421" s="12"/>
      <c r="E421" s="12"/>
      <c r="F421" s="13"/>
      <c r="G421" s="12"/>
    </row>
    <row r="422">
      <c r="A422" s="4"/>
      <c r="B422" s="12"/>
      <c r="C422" s="12"/>
      <c r="D422" s="12"/>
      <c r="E422" s="12"/>
      <c r="F422" s="13"/>
      <c r="G422" s="12"/>
    </row>
    <row r="423">
      <c r="A423" s="4"/>
      <c r="B423" s="12"/>
      <c r="C423" s="12"/>
      <c r="D423" s="12"/>
      <c r="E423" s="12"/>
      <c r="F423" s="13"/>
      <c r="G423" s="12"/>
    </row>
    <row r="424">
      <c r="A424" s="4"/>
      <c r="B424" s="12"/>
      <c r="C424" s="12"/>
      <c r="D424" s="12"/>
      <c r="E424" s="12"/>
      <c r="F424" s="13"/>
      <c r="G424" s="12"/>
    </row>
    <row r="425">
      <c r="A425" s="4"/>
      <c r="B425" s="12"/>
      <c r="C425" s="12"/>
      <c r="D425" s="12"/>
      <c r="E425" s="12"/>
      <c r="F425" s="13"/>
      <c r="G425" s="12"/>
    </row>
    <row r="426">
      <c r="A426" s="4"/>
      <c r="B426" s="12"/>
      <c r="C426" s="12"/>
      <c r="D426" s="12"/>
      <c r="E426" s="12"/>
      <c r="F426" s="13"/>
      <c r="G426" s="12"/>
    </row>
    <row r="427">
      <c r="A427" s="4"/>
      <c r="B427" s="12"/>
      <c r="C427" s="12"/>
      <c r="D427" s="12"/>
      <c r="E427" s="12"/>
      <c r="F427" s="13"/>
      <c r="G427" s="12"/>
    </row>
    <row r="428">
      <c r="A428" s="4"/>
      <c r="B428" s="12"/>
      <c r="C428" s="12"/>
      <c r="D428" s="12"/>
      <c r="E428" s="12"/>
      <c r="F428" s="13"/>
      <c r="G428" s="12"/>
    </row>
    <row r="429">
      <c r="A429" s="4"/>
      <c r="B429" s="12"/>
      <c r="C429" s="12"/>
      <c r="D429" s="12"/>
      <c r="E429" s="12"/>
      <c r="F429" s="13"/>
      <c r="G429" s="12"/>
    </row>
    <row r="430">
      <c r="A430" s="4"/>
      <c r="B430" s="12"/>
      <c r="C430" s="12"/>
      <c r="D430" s="12"/>
      <c r="E430" s="12"/>
      <c r="F430" s="13"/>
      <c r="G430" s="12"/>
    </row>
    <row r="431">
      <c r="A431" s="4"/>
      <c r="B431" s="12"/>
      <c r="C431" s="12"/>
      <c r="D431" s="12"/>
      <c r="E431" s="12"/>
      <c r="F431" s="13"/>
      <c r="G431" s="12"/>
    </row>
    <row r="432">
      <c r="A432" s="4"/>
      <c r="B432" s="12"/>
      <c r="C432" s="12"/>
      <c r="D432" s="12"/>
      <c r="E432" s="12"/>
      <c r="F432" s="13"/>
      <c r="G432" s="12"/>
    </row>
    <row r="433">
      <c r="A433" s="4"/>
      <c r="B433" s="12"/>
      <c r="C433" s="12"/>
      <c r="D433" s="12"/>
      <c r="E433" s="12"/>
      <c r="F433" s="13"/>
      <c r="G433" s="12"/>
    </row>
    <row r="434">
      <c r="A434" s="4"/>
      <c r="B434" s="12"/>
      <c r="C434" s="12"/>
      <c r="D434" s="12"/>
      <c r="E434" s="12"/>
      <c r="F434" s="13"/>
      <c r="G434" s="12"/>
    </row>
    <row r="435">
      <c r="A435" s="4"/>
      <c r="B435" s="12"/>
      <c r="C435" s="12"/>
      <c r="D435" s="12"/>
      <c r="E435" s="12"/>
      <c r="F435" s="13"/>
      <c r="G435" s="12"/>
    </row>
    <row r="436">
      <c r="A436" s="4"/>
      <c r="B436" s="12"/>
      <c r="C436" s="12"/>
      <c r="D436" s="12"/>
      <c r="E436" s="12"/>
      <c r="F436" s="13"/>
      <c r="G436" s="12"/>
    </row>
    <row r="437">
      <c r="A437" s="4"/>
      <c r="B437" s="12"/>
      <c r="C437" s="12"/>
      <c r="D437" s="12"/>
      <c r="E437" s="12"/>
      <c r="F437" s="13"/>
      <c r="G437" s="12"/>
    </row>
    <row r="438">
      <c r="A438" s="4"/>
      <c r="B438" s="12"/>
      <c r="C438" s="12"/>
      <c r="D438" s="12"/>
      <c r="E438" s="12"/>
      <c r="F438" s="13"/>
      <c r="G438" s="12"/>
    </row>
    <row r="439">
      <c r="A439" s="4"/>
      <c r="B439" s="12"/>
      <c r="C439" s="12"/>
      <c r="D439" s="12"/>
      <c r="E439" s="12"/>
      <c r="F439" s="13"/>
      <c r="G439" s="12"/>
    </row>
    <row r="440">
      <c r="A440" s="4"/>
      <c r="B440" s="12"/>
      <c r="C440" s="12"/>
      <c r="D440" s="12"/>
      <c r="E440" s="12"/>
      <c r="F440" s="13"/>
      <c r="G440" s="12"/>
    </row>
    <row r="441">
      <c r="A441" s="4"/>
      <c r="B441" s="12"/>
      <c r="C441" s="12"/>
      <c r="D441" s="12"/>
      <c r="E441" s="12"/>
      <c r="F441" s="13"/>
      <c r="G441" s="12"/>
    </row>
    <row r="442">
      <c r="A442" s="4"/>
      <c r="B442" s="12"/>
      <c r="C442" s="12"/>
      <c r="D442" s="12"/>
      <c r="E442" s="12"/>
      <c r="F442" s="13"/>
      <c r="G442" s="12"/>
    </row>
    <row r="443">
      <c r="A443" s="4"/>
      <c r="B443" s="12"/>
      <c r="C443" s="12"/>
      <c r="D443" s="12"/>
      <c r="E443" s="12"/>
      <c r="F443" s="13"/>
      <c r="G443" s="12"/>
    </row>
    <row r="444">
      <c r="A444" s="4"/>
      <c r="B444" s="12"/>
      <c r="C444" s="12"/>
      <c r="D444" s="12"/>
      <c r="E444" s="12"/>
      <c r="F444" s="13"/>
      <c r="G444" s="12"/>
    </row>
    <row r="445">
      <c r="A445" s="4"/>
      <c r="B445" s="12"/>
      <c r="C445" s="12"/>
      <c r="D445" s="12"/>
      <c r="E445" s="12"/>
      <c r="F445" s="13"/>
      <c r="G445" s="12"/>
    </row>
    <row r="446">
      <c r="A446" s="4"/>
      <c r="B446" s="12"/>
      <c r="C446" s="12"/>
      <c r="D446" s="12"/>
      <c r="E446" s="12"/>
      <c r="F446" s="13"/>
      <c r="G446" s="12"/>
    </row>
    <row r="447">
      <c r="A447" s="4"/>
      <c r="B447" s="12"/>
      <c r="C447" s="12"/>
      <c r="D447" s="12"/>
      <c r="E447" s="12"/>
      <c r="F447" s="13"/>
      <c r="G447" s="12"/>
    </row>
    <row r="448">
      <c r="A448" s="4"/>
      <c r="B448" s="12"/>
      <c r="C448" s="12"/>
      <c r="D448" s="12"/>
      <c r="E448" s="12"/>
      <c r="F448" s="13"/>
      <c r="G448" s="12"/>
    </row>
    <row r="449">
      <c r="A449" s="4"/>
      <c r="B449" s="12"/>
      <c r="C449" s="12"/>
      <c r="D449" s="12"/>
      <c r="E449" s="12"/>
      <c r="F449" s="13"/>
      <c r="G449" s="12"/>
    </row>
    <row r="450">
      <c r="A450" s="4"/>
      <c r="B450" s="12"/>
      <c r="C450" s="12"/>
      <c r="D450" s="12"/>
      <c r="E450" s="12"/>
      <c r="F450" s="13"/>
      <c r="G450" s="12"/>
    </row>
    <row r="451">
      <c r="A451" s="4"/>
      <c r="B451" s="12"/>
      <c r="C451" s="12"/>
      <c r="D451" s="12"/>
      <c r="E451" s="12"/>
      <c r="F451" s="13"/>
      <c r="G451" s="12"/>
    </row>
    <row r="452">
      <c r="A452" s="4"/>
      <c r="B452" s="12"/>
      <c r="C452" s="12"/>
      <c r="D452" s="12"/>
      <c r="E452" s="12"/>
      <c r="F452" s="13"/>
      <c r="G452" s="12"/>
    </row>
    <row r="453">
      <c r="A453" s="4"/>
      <c r="B453" s="12"/>
      <c r="C453" s="12"/>
      <c r="D453" s="12"/>
      <c r="E453" s="12"/>
      <c r="F453" s="13"/>
      <c r="G453" s="12"/>
    </row>
    <row r="454">
      <c r="A454" s="4"/>
      <c r="B454" s="12"/>
      <c r="C454" s="12"/>
      <c r="D454" s="12"/>
      <c r="E454" s="12"/>
      <c r="F454" s="13"/>
      <c r="G454" s="12"/>
    </row>
    <row r="455">
      <c r="A455" s="4"/>
      <c r="B455" s="12"/>
      <c r="C455" s="12"/>
      <c r="D455" s="12"/>
      <c r="E455" s="12"/>
      <c r="F455" s="13"/>
      <c r="G455" s="12"/>
    </row>
    <row r="456">
      <c r="A456" s="4"/>
      <c r="B456" s="12"/>
      <c r="C456" s="12"/>
      <c r="D456" s="12"/>
      <c r="E456" s="12"/>
      <c r="F456" s="13"/>
      <c r="G456" s="12"/>
    </row>
    <row r="457">
      <c r="A457" s="4"/>
      <c r="B457" s="12"/>
      <c r="C457" s="12"/>
      <c r="D457" s="12"/>
      <c r="E457" s="12"/>
      <c r="F457" s="13"/>
      <c r="G457" s="12"/>
    </row>
    <row r="458">
      <c r="A458" s="4"/>
      <c r="B458" s="12"/>
      <c r="C458" s="12"/>
      <c r="D458" s="12"/>
      <c r="E458" s="12"/>
      <c r="F458" s="13"/>
      <c r="G458" s="12"/>
    </row>
    <row r="459">
      <c r="A459" s="4"/>
      <c r="B459" s="12"/>
      <c r="C459" s="12"/>
      <c r="D459" s="12"/>
      <c r="E459" s="12"/>
      <c r="F459" s="13"/>
      <c r="G459" s="12"/>
    </row>
    <row r="460">
      <c r="A460" s="4"/>
      <c r="B460" s="12"/>
      <c r="C460" s="12"/>
      <c r="D460" s="12"/>
      <c r="E460" s="12"/>
      <c r="F460" s="13"/>
      <c r="G460" s="12"/>
    </row>
    <row r="461">
      <c r="A461" s="4"/>
      <c r="B461" s="12"/>
      <c r="C461" s="12"/>
      <c r="D461" s="12"/>
      <c r="E461" s="12"/>
      <c r="F461" s="13"/>
      <c r="G461" s="12"/>
    </row>
    <row r="462">
      <c r="A462" s="4"/>
      <c r="B462" s="12"/>
      <c r="C462" s="12"/>
      <c r="D462" s="12"/>
      <c r="E462" s="12"/>
      <c r="F462" s="13"/>
      <c r="G462" s="12"/>
    </row>
    <row r="463">
      <c r="A463" s="4"/>
      <c r="B463" s="12"/>
      <c r="C463" s="12"/>
      <c r="D463" s="12"/>
      <c r="E463" s="12"/>
      <c r="F463" s="13"/>
      <c r="G463" s="12"/>
    </row>
    <row r="464">
      <c r="A464" s="4"/>
      <c r="B464" s="12"/>
      <c r="C464" s="12"/>
      <c r="D464" s="12"/>
      <c r="E464" s="12"/>
      <c r="F464" s="13"/>
      <c r="G464" s="12"/>
    </row>
    <row r="465">
      <c r="A465" s="4"/>
      <c r="B465" s="12"/>
      <c r="C465" s="12"/>
      <c r="D465" s="12"/>
      <c r="E465" s="12"/>
      <c r="F465" s="13"/>
      <c r="G465" s="12"/>
    </row>
    <row r="466">
      <c r="A466" s="4"/>
      <c r="B466" s="12"/>
      <c r="C466" s="12"/>
      <c r="D466" s="12"/>
      <c r="E466" s="12"/>
      <c r="F466" s="13"/>
      <c r="G466" s="12"/>
    </row>
    <row r="467">
      <c r="A467" s="4"/>
      <c r="B467" s="12"/>
      <c r="C467" s="12"/>
      <c r="D467" s="12"/>
      <c r="E467" s="12"/>
      <c r="F467" s="13"/>
      <c r="G467" s="12"/>
    </row>
    <row r="468">
      <c r="A468" s="4"/>
      <c r="B468" s="12"/>
      <c r="C468" s="12"/>
      <c r="D468" s="12"/>
      <c r="E468" s="12"/>
      <c r="F468" s="13"/>
      <c r="G468" s="12"/>
    </row>
    <row r="469">
      <c r="A469" s="4"/>
      <c r="B469" s="12"/>
      <c r="C469" s="12"/>
      <c r="D469" s="12"/>
      <c r="E469" s="12"/>
      <c r="F469" s="13"/>
      <c r="G469" s="12"/>
    </row>
    <row r="470">
      <c r="A470" s="4"/>
      <c r="B470" s="12"/>
      <c r="C470" s="12"/>
      <c r="D470" s="12"/>
      <c r="E470" s="12"/>
      <c r="F470" s="13"/>
      <c r="G470" s="12"/>
    </row>
    <row r="471">
      <c r="A471" s="4"/>
      <c r="B471" s="12"/>
      <c r="C471" s="12"/>
      <c r="D471" s="12"/>
      <c r="E471" s="12"/>
      <c r="F471" s="13"/>
      <c r="G471" s="12"/>
    </row>
    <row r="472">
      <c r="A472" s="4"/>
      <c r="B472" s="12"/>
      <c r="C472" s="12"/>
      <c r="D472" s="12"/>
      <c r="E472" s="12"/>
      <c r="F472" s="13"/>
      <c r="G472" s="12"/>
    </row>
    <row r="473">
      <c r="A473" s="4"/>
      <c r="B473" s="12"/>
      <c r="C473" s="12"/>
      <c r="D473" s="12"/>
      <c r="E473" s="12"/>
      <c r="F473" s="13"/>
      <c r="G473" s="12"/>
    </row>
    <row r="474">
      <c r="A474" s="4"/>
      <c r="B474" s="12"/>
      <c r="C474" s="12"/>
      <c r="D474" s="12"/>
      <c r="E474" s="12"/>
      <c r="F474" s="13"/>
      <c r="G474" s="12"/>
    </row>
    <row r="475">
      <c r="A475" s="4"/>
      <c r="B475" s="12"/>
      <c r="C475" s="12"/>
      <c r="D475" s="12"/>
      <c r="E475" s="12"/>
      <c r="F475" s="13"/>
      <c r="G475" s="12"/>
    </row>
    <row r="476">
      <c r="A476" s="4"/>
      <c r="B476" s="12"/>
      <c r="C476" s="12"/>
      <c r="D476" s="12"/>
      <c r="E476" s="12"/>
      <c r="F476" s="13"/>
      <c r="G476" s="12"/>
    </row>
    <row r="477">
      <c r="A477" s="4"/>
      <c r="B477" s="12"/>
      <c r="C477" s="12"/>
      <c r="D477" s="12"/>
      <c r="E477" s="12"/>
      <c r="F477" s="13"/>
      <c r="G477" s="12"/>
    </row>
    <row r="478">
      <c r="A478" s="4"/>
      <c r="B478" s="12"/>
      <c r="C478" s="12"/>
      <c r="D478" s="12"/>
      <c r="E478" s="12"/>
      <c r="F478" s="13"/>
      <c r="G478" s="12"/>
    </row>
    <row r="479">
      <c r="A479" s="4"/>
      <c r="B479" s="12"/>
      <c r="C479" s="12"/>
      <c r="D479" s="12"/>
      <c r="E479" s="12"/>
      <c r="F479" s="13"/>
      <c r="G479" s="12"/>
    </row>
    <row r="480">
      <c r="A480" s="4"/>
      <c r="B480" s="12"/>
      <c r="C480" s="12"/>
      <c r="D480" s="12"/>
      <c r="E480" s="12"/>
      <c r="F480" s="13"/>
      <c r="G480" s="12"/>
    </row>
    <row r="481">
      <c r="A481" s="4"/>
      <c r="B481" s="12"/>
      <c r="C481" s="12"/>
      <c r="D481" s="12"/>
      <c r="E481" s="12"/>
      <c r="F481" s="13"/>
      <c r="G481" s="12"/>
    </row>
    <row r="482">
      <c r="A482" s="4"/>
      <c r="B482" s="12"/>
      <c r="C482" s="12"/>
      <c r="D482" s="12"/>
      <c r="E482" s="12"/>
      <c r="F482" s="13"/>
      <c r="G482" s="12"/>
    </row>
    <row r="483">
      <c r="A483" s="4"/>
      <c r="B483" s="12"/>
      <c r="C483" s="12"/>
      <c r="D483" s="12"/>
      <c r="E483" s="12"/>
      <c r="F483" s="13"/>
      <c r="G483" s="12"/>
    </row>
    <row r="484">
      <c r="A484" s="4"/>
      <c r="B484" s="12"/>
      <c r="C484" s="12"/>
      <c r="D484" s="12"/>
      <c r="E484" s="12"/>
      <c r="F484" s="13"/>
      <c r="G484" s="12"/>
    </row>
    <row r="485">
      <c r="A485" s="4"/>
      <c r="B485" s="12"/>
      <c r="C485" s="12"/>
      <c r="D485" s="12"/>
      <c r="E485" s="12"/>
      <c r="F485" s="13"/>
      <c r="G485" s="12"/>
    </row>
    <row r="486">
      <c r="A486" s="4"/>
      <c r="B486" s="12"/>
      <c r="C486" s="12"/>
      <c r="D486" s="12"/>
      <c r="E486" s="12"/>
      <c r="F486" s="13"/>
      <c r="G486" s="12"/>
    </row>
    <row r="487">
      <c r="A487" s="4"/>
      <c r="B487" s="12"/>
      <c r="C487" s="12"/>
      <c r="D487" s="12"/>
      <c r="E487" s="12"/>
      <c r="F487" s="13"/>
      <c r="G487" s="12"/>
    </row>
    <row r="488">
      <c r="A488" s="4"/>
      <c r="B488" s="12"/>
      <c r="C488" s="12"/>
      <c r="D488" s="12"/>
      <c r="E488" s="12"/>
      <c r="F488" s="13"/>
      <c r="G488" s="12"/>
    </row>
    <row r="489">
      <c r="A489" s="4"/>
      <c r="B489" s="12"/>
      <c r="C489" s="12"/>
      <c r="D489" s="12"/>
      <c r="E489" s="12"/>
      <c r="F489" s="13"/>
      <c r="G489" s="12"/>
    </row>
    <row r="490">
      <c r="A490" s="4"/>
      <c r="B490" s="12"/>
      <c r="C490" s="12"/>
      <c r="D490" s="12"/>
      <c r="E490" s="12"/>
      <c r="F490" s="13"/>
      <c r="G490" s="12"/>
    </row>
    <row r="491">
      <c r="A491" s="4"/>
      <c r="B491" s="12"/>
      <c r="C491" s="12"/>
      <c r="D491" s="12"/>
      <c r="E491" s="12"/>
      <c r="F491" s="13"/>
      <c r="G491" s="12"/>
    </row>
    <row r="492">
      <c r="A492" s="4"/>
      <c r="B492" s="12"/>
      <c r="C492" s="12"/>
      <c r="D492" s="12"/>
      <c r="E492" s="12"/>
      <c r="F492" s="13"/>
      <c r="G492" s="12"/>
    </row>
    <row r="493">
      <c r="A493" s="4"/>
      <c r="B493" s="12"/>
      <c r="C493" s="12"/>
      <c r="D493" s="12"/>
      <c r="E493" s="12"/>
      <c r="F493" s="13"/>
      <c r="G493" s="12"/>
    </row>
    <row r="494">
      <c r="A494" s="4"/>
      <c r="B494" s="12"/>
      <c r="C494" s="12"/>
      <c r="D494" s="12"/>
      <c r="E494" s="12"/>
      <c r="F494" s="13"/>
      <c r="G494" s="12"/>
    </row>
    <row r="495">
      <c r="A495" s="4"/>
      <c r="B495" s="12"/>
      <c r="C495" s="12"/>
      <c r="D495" s="12"/>
      <c r="E495" s="12"/>
      <c r="F495" s="13"/>
      <c r="G495" s="12"/>
    </row>
    <row r="496">
      <c r="A496" s="4"/>
      <c r="B496" s="12"/>
      <c r="C496" s="12"/>
      <c r="D496" s="12"/>
      <c r="E496" s="12"/>
      <c r="F496" s="13"/>
      <c r="G496" s="12"/>
    </row>
    <row r="497">
      <c r="A497" s="4"/>
      <c r="B497" s="12"/>
      <c r="C497" s="12"/>
      <c r="D497" s="12"/>
      <c r="E497" s="12"/>
      <c r="F497" s="13"/>
      <c r="G497" s="12"/>
    </row>
    <row r="498">
      <c r="A498" s="4"/>
      <c r="B498" s="12"/>
      <c r="C498" s="12"/>
      <c r="D498" s="12"/>
      <c r="E498" s="12"/>
      <c r="F498" s="13"/>
      <c r="G498" s="12"/>
    </row>
    <row r="499">
      <c r="A499" s="4"/>
      <c r="B499" s="12"/>
      <c r="C499" s="12"/>
      <c r="D499" s="12"/>
      <c r="E499" s="12"/>
      <c r="F499" s="13"/>
      <c r="G499" s="12"/>
    </row>
    <row r="500">
      <c r="A500" s="4"/>
      <c r="B500" s="12"/>
      <c r="C500" s="12"/>
      <c r="D500" s="12"/>
      <c r="E500" s="12"/>
      <c r="F500" s="13"/>
      <c r="G500" s="12"/>
    </row>
    <row r="501">
      <c r="A501" s="4"/>
      <c r="B501" s="12"/>
      <c r="C501" s="12"/>
      <c r="D501" s="12"/>
      <c r="E501" s="12"/>
      <c r="F501" s="13"/>
      <c r="G501" s="12"/>
    </row>
    <row r="502">
      <c r="A502" s="4"/>
      <c r="B502" s="12"/>
      <c r="C502" s="12"/>
      <c r="D502" s="12"/>
      <c r="E502" s="12"/>
      <c r="F502" s="13"/>
      <c r="G502" s="12"/>
    </row>
    <row r="503">
      <c r="A503" s="4"/>
      <c r="B503" s="12"/>
      <c r="C503" s="12"/>
      <c r="D503" s="12"/>
      <c r="E503" s="12"/>
      <c r="F503" s="13"/>
      <c r="G503" s="12"/>
    </row>
    <row r="504">
      <c r="A504" s="4"/>
      <c r="B504" s="12"/>
      <c r="C504" s="12"/>
      <c r="D504" s="12"/>
      <c r="E504" s="12"/>
      <c r="F504" s="13"/>
      <c r="G504" s="12"/>
    </row>
    <row r="505">
      <c r="A505" s="4"/>
      <c r="B505" s="12"/>
      <c r="C505" s="12"/>
      <c r="D505" s="12"/>
      <c r="E505" s="12"/>
      <c r="F505" s="13"/>
      <c r="G505" s="12"/>
    </row>
    <row r="506">
      <c r="A506" s="4"/>
      <c r="B506" s="12"/>
      <c r="C506" s="12"/>
      <c r="D506" s="12"/>
      <c r="E506" s="12"/>
      <c r="F506" s="13"/>
      <c r="G506" s="12"/>
    </row>
    <row r="507">
      <c r="A507" s="4"/>
      <c r="B507" s="12"/>
      <c r="C507" s="12"/>
      <c r="D507" s="12"/>
      <c r="E507" s="12"/>
      <c r="F507" s="13"/>
      <c r="G507" s="12"/>
    </row>
    <row r="508">
      <c r="A508" s="4"/>
      <c r="B508" s="12"/>
      <c r="C508" s="12"/>
      <c r="D508" s="12"/>
      <c r="E508" s="12"/>
      <c r="F508" s="13"/>
      <c r="G508" s="12"/>
    </row>
    <row r="509">
      <c r="A509" s="4"/>
      <c r="B509" s="12"/>
      <c r="C509" s="12"/>
      <c r="D509" s="12"/>
      <c r="E509" s="12"/>
      <c r="F509" s="13"/>
      <c r="G509" s="12"/>
    </row>
    <row r="510">
      <c r="A510" s="4"/>
      <c r="B510" s="12"/>
      <c r="C510" s="12"/>
      <c r="D510" s="12"/>
      <c r="E510" s="12"/>
      <c r="F510" s="13"/>
      <c r="G510" s="12"/>
    </row>
    <row r="511">
      <c r="A511" s="4"/>
      <c r="B511" s="12"/>
      <c r="C511" s="12"/>
      <c r="D511" s="12"/>
      <c r="E511" s="12"/>
      <c r="F511" s="13"/>
      <c r="G511" s="12"/>
    </row>
    <row r="512">
      <c r="A512" s="4"/>
      <c r="B512" s="12"/>
      <c r="C512" s="12"/>
      <c r="D512" s="12"/>
      <c r="E512" s="12"/>
      <c r="F512" s="13"/>
      <c r="G512" s="12"/>
    </row>
    <row r="513">
      <c r="A513" s="4"/>
      <c r="B513" s="12"/>
      <c r="C513" s="12"/>
      <c r="D513" s="12"/>
      <c r="E513" s="12"/>
      <c r="F513" s="13"/>
      <c r="G513" s="12"/>
    </row>
    <row r="514">
      <c r="A514" s="4"/>
      <c r="B514" s="12"/>
      <c r="C514" s="12"/>
      <c r="D514" s="12"/>
      <c r="E514" s="12"/>
      <c r="F514" s="13"/>
      <c r="G514" s="12"/>
    </row>
    <row r="515">
      <c r="A515" s="4"/>
      <c r="B515" s="12"/>
      <c r="C515" s="12"/>
      <c r="D515" s="12"/>
      <c r="E515" s="12"/>
      <c r="F515" s="13"/>
      <c r="G515" s="12"/>
    </row>
    <row r="516">
      <c r="A516" s="4"/>
      <c r="B516" s="12"/>
      <c r="C516" s="12"/>
      <c r="D516" s="12"/>
      <c r="E516" s="12"/>
      <c r="F516" s="13"/>
      <c r="G516" s="12"/>
    </row>
    <row r="517">
      <c r="A517" s="4"/>
      <c r="B517" s="12"/>
      <c r="C517" s="12"/>
      <c r="D517" s="12"/>
      <c r="E517" s="12"/>
      <c r="F517" s="13"/>
      <c r="G517" s="12"/>
    </row>
    <row r="518">
      <c r="A518" s="4"/>
      <c r="B518" s="12"/>
      <c r="C518" s="12"/>
      <c r="D518" s="12"/>
      <c r="E518" s="12"/>
      <c r="F518" s="13"/>
      <c r="G518" s="12"/>
    </row>
    <row r="519">
      <c r="A519" s="4"/>
      <c r="B519" s="12"/>
      <c r="C519" s="12"/>
      <c r="D519" s="12"/>
      <c r="E519" s="12"/>
      <c r="F519" s="13"/>
      <c r="G519" s="12"/>
    </row>
    <row r="520">
      <c r="A520" s="4"/>
      <c r="B520" s="12"/>
      <c r="C520" s="12"/>
      <c r="D520" s="12"/>
      <c r="E520" s="12"/>
      <c r="F520" s="13"/>
      <c r="G520" s="12"/>
    </row>
    <row r="521">
      <c r="A521" s="4"/>
      <c r="B521" s="12"/>
      <c r="C521" s="12"/>
      <c r="D521" s="12"/>
      <c r="E521" s="12"/>
      <c r="F521" s="13"/>
      <c r="G521" s="12"/>
    </row>
    <row r="522">
      <c r="A522" s="4"/>
      <c r="B522" s="12"/>
      <c r="C522" s="12"/>
      <c r="D522" s="12"/>
      <c r="E522" s="12"/>
      <c r="F522" s="13"/>
      <c r="G522" s="12"/>
    </row>
    <row r="523">
      <c r="A523" s="4"/>
      <c r="B523" s="12"/>
      <c r="C523" s="12"/>
      <c r="D523" s="12"/>
      <c r="E523" s="12"/>
      <c r="F523" s="13"/>
      <c r="G523" s="12"/>
    </row>
    <row r="524">
      <c r="A524" s="4"/>
      <c r="B524" s="12"/>
      <c r="C524" s="12"/>
      <c r="D524" s="12"/>
      <c r="E524" s="12"/>
      <c r="F524" s="13"/>
      <c r="G524" s="12"/>
    </row>
    <row r="525">
      <c r="A525" s="4"/>
      <c r="B525" s="12"/>
      <c r="C525" s="12"/>
      <c r="D525" s="12"/>
      <c r="E525" s="12"/>
      <c r="F525" s="13"/>
      <c r="G525" s="12"/>
    </row>
    <row r="526">
      <c r="A526" s="4"/>
      <c r="B526" s="12"/>
      <c r="C526" s="12"/>
      <c r="D526" s="12"/>
      <c r="E526" s="12"/>
      <c r="F526" s="13"/>
      <c r="G526" s="12"/>
    </row>
    <row r="527">
      <c r="A527" s="4"/>
      <c r="B527" s="12"/>
      <c r="C527" s="12"/>
      <c r="D527" s="12"/>
      <c r="E527" s="12"/>
      <c r="F527" s="13"/>
      <c r="G527" s="12"/>
    </row>
    <row r="528">
      <c r="A528" s="4"/>
      <c r="B528" s="12"/>
      <c r="C528" s="12"/>
      <c r="D528" s="12"/>
      <c r="E528" s="12"/>
      <c r="F528" s="13"/>
      <c r="G528" s="12"/>
    </row>
    <row r="529">
      <c r="A529" s="4"/>
      <c r="B529" s="12"/>
      <c r="C529" s="12"/>
      <c r="D529" s="12"/>
      <c r="E529" s="12"/>
      <c r="F529" s="13"/>
      <c r="G529" s="12"/>
    </row>
    <row r="530">
      <c r="A530" s="4"/>
      <c r="B530" s="12"/>
      <c r="C530" s="12"/>
      <c r="D530" s="12"/>
      <c r="E530" s="12"/>
      <c r="F530" s="13"/>
      <c r="G530" s="12"/>
    </row>
    <row r="531">
      <c r="A531" s="4"/>
      <c r="B531" s="12"/>
      <c r="C531" s="12"/>
      <c r="D531" s="12"/>
      <c r="E531" s="12"/>
      <c r="F531" s="13"/>
      <c r="G531" s="12"/>
    </row>
    <row r="532">
      <c r="A532" s="4"/>
      <c r="B532" s="12"/>
      <c r="C532" s="12"/>
      <c r="D532" s="12"/>
      <c r="E532" s="12"/>
      <c r="F532" s="13"/>
      <c r="G532" s="12"/>
    </row>
    <row r="533">
      <c r="A533" s="4"/>
      <c r="B533" s="12"/>
      <c r="C533" s="12"/>
      <c r="D533" s="12"/>
      <c r="E533" s="12"/>
      <c r="F533" s="13"/>
      <c r="G533" s="12"/>
    </row>
    <row r="534">
      <c r="A534" s="4"/>
      <c r="B534" s="12"/>
      <c r="C534" s="12"/>
      <c r="D534" s="12"/>
      <c r="E534" s="12"/>
      <c r="F534" s="13"/>
      <c r="G534" s="12"/>
    </row>
    <row r="535">
      <c r="A535" s="4"/>
      <c r="B535" s="12"/>
      <c r="C535" s="12"/>
      <c r="D535" s="12"/>
      <c r="E535" s="12"/>
      <c r="F535" s="13"/>
      <c r="G535" s="12"/>
    </row>
    <row r="536">
      <c r="A536" s="4"/>
      <c r="B536" s="12"/>
      <c r="C536" s="12"/>
      <c r="D536" s="12"/>
      <c r="E536" s="12"/>
      <c r="F536" s="13"/>
      <c r="G536" s="12"/>
    </row>
    <row r="537">
      <c r="A537" s="4"/>
      <c r="B537" s="12"/>
      <c r="C537" s="12"/>
      <c r="D537" s="12"/>
      <c r="E537" s="12"/>
      <c r="F537" s="13"/>
      <c r="G537" s="12"/>
    </row>
    <row r="538">
      <c r="A538" s="4"/>
      <c r="B538" s="12"/>
      <c r="C538" s="12"/>
      <c r="D538" s="12"/>
      <c r="E538" s="12"/>
      <c r="F538" s="13"/>
      <c r="G538" s="12"/>
    </row>
    <row r="539">
      <c r="A539" s="4"/>
      <c r="B539" s="12"/>
      <c r="C539" s="12"/>
      <c r="D539" s="12"/>
      <c r="E539" s="12"/>
      <c r="F539" s="13"/>
      <c r="G539" s="12"/>
    </row>
    <row r="540">
      <c r="A540" s="4"/>
      <c r="B540" s="12"/>
      <c r="C540" s="12"/>
      <c r="D540" s="12"/>
      <c r="E540" s="12"/>
      <c r="F540" s="13"/>
      <c r="G540" s="12"/>
    </row>
    <row r="541">
      <c r="A541" s="4"/>
      <c r="B541" s="12"/>
      <c r="C541" s="12"/>
      <c r="D541" s="12"/>
      <c r="E541" s="12"/>
      <c r="F541" s="13"/>
      <c r="G541" s="12"/>
    </row>
    <row r="542">
      <c r="A542" s="4"/>
      <c r="B542" s="12"/>
      <c r="C542" s="12"/>
      <c r="D542" s="12"/>
      <c r="E542" s="12"/>
      <c r="F542" s="13"/>
      <c r="G542" s="12"/>
    </row>
    <row r="543">
      <c r="A543" s="4"/>
      <c r="B543" s="12"/>
      <c r="C543" s="12"/>
      <c r="D543" s="12"/>
      <c r="E543" s="12"/>
      <c r="F543" s="13"/>
      <c r="G543" s="12"/>
    </row>
    <row r="544">
      <c r="A544" s="4"/>
      <c r="B544" s="12"/>
      <c r="C544" s="12"/>
      <c r="D544" s="12"/>
      <c r="E544" s="12"/>
      <c r="F544" s="13"/>
      <c r="G544" s="12"/>
    </row>
    <row r="545">
      <c r="A545" s="4"/>
      <c r="B545" s="12"/>
      <c r="C545" s="12"/>
      <c r="D545" s="12"/>
      <c r="E545" s="12"/>
      <c r="F545" s="13"/>
      <c r="G545" s="12"/>
    </row>
    <row r="546">
      <c r="A546" s="4"/>
      <c r="B546" s="12"/>
      <c r="C546" s="12"/>
      <c r="D546" s="12"/>
      <c r="E546" s="12"/>
      <c r="F546" s="13"/>
      <c r="G546" s="12"/>
    </row>
    <row r="547">
      <c r="A547" s="4"/>
      <c r="B547" s="12"/>
      <c r="C547" s="12"/>
      <c r="D547" s="12"/>
      <c r="E547" s="12"/>
      <c r="F547" s="13"/>
      <c r="G547" s="12"/>
    </row>
    <row r="548">
      <c r="A548" s="4"/>
      <c r="B548" s="12"/>
      <c r="C548" s="12"/>
      <c r="D548" s="12"/>
      <c r="E548" s="12"/>
      <c r="F548" s="13"/>
      <c r="G548" s="12"/>
    </row>
    <row r="549">
      <c r="A549" s="4"/>
      <c r="B549" s="12"/>
      <c r="C549" s="12"/>
      <c r="D549" s="12"/>
      <c r="E549" s="12"/>
      <c r="F549" s="13"/>
      <c r="G549" s="12"/>
    </row>
    <row r="550">
      <c r="A550" s="4"/>
      <c r="B550" s="12"/>
      <c r="C550" s="12"/>
      <c r="D550" s="12"/>
      <c r="E550" s="12"/>
      <c r="F550" s="13"/>
      <c r="G550" s="12"/>
    </row>
    <row r="551">
      <c r="A551" s="4"/>
      <c r="B551" s="12"/>
      <c r="C551" s="12"/>
      <c r="D551" s="12"/>
      <c r="E551" s="12"/>
      <c r="F551" s="13"/>
      <c r="G551" s="12"/>
    </row>
    <row r="552">
      <c r="A552" s="4"/>
      <c r="B552" s="12"/>
      <c r="C552" s="12"/>
      <c r="D552" s="12"/>
      <c r="E552" s="12"/>
      <c r="F552" s="13"/>
      <c r="G552" s="12"/>
    </row>
    <row r="553">
      <c r="A553" s="4"/>
      <c r="B553" s="12"/>
      <c r="C553" s="12"/>
      <c r="D553" s="12"/>
      <c r="E553" s="12"/>
      <c r="F553" s="13"/>
      <c r="G553" s="12"/>
    </row>
    <row r="554">
      <c r="A554" s="4"/>
      <c r="B554" s="12"/>
      <c r="C554" s="12"/>
      <c r="D554" s="12"/>
      <c r="E554" s="12"/>
      <c r="F554" s="13"/>
      <c r="G554" s="12"/>
    </row>
    <row r="555">
      <c r="A555" s="4"/>
      <c r="B555" s="12"/>
      <c r="C555" s="12"/>
      <c r="D555" s="12"/>
      <c r="E555" s="12"/>
      <c r="F555" s="13"/>
      <c r="G555" s="12"/>
    </row>
    <row r="556">
      <c r="A556" s="4"/>
      <c r="B556" s="12"/>
      <c r="C556" s="12"/>
      <c r="D556" s="12"/>
      <c r="E556" s="12"/>
      <c r="F556" s="13"/>
      <c r="G556" s="12"/>
    </row>
    <row r="557">
      <c r="A557" s="4"/>
      <c r="B557" s="12"/>
      <c r="C557" s="12"/>
      <c r="D557" s="12"/>
      <c r="E557" s="12"/>
      <c r="F557" s="13"/>
      <c r="G557" s="12"/>
    </row>
    <row r="558">
      <c r="A558" s="4"/>
      <c r="B558" s="12"/>
      <c r="C558" s="12"/>
      <c r="D558" s="12"/>
      <c r="E558" s="12"/>
      <c r="F558" s="13"/>
      <c r="G558" s="12"/>
    </row>
    <row r="559">
      <c r="A559" s="4"/>
      <c r="B559" s="12"/>
      <c r="C559" s="12"/>
      <c r="D559" s="12"/>
      <c r="E559" s="12"/>
      <c r="F559" s="13"/>
      <c r="G559" s="12"/>
    </row>
    <row r="560">
      <c r="A560" s="4"/>
      <c r="B560" s="12"/>
      <c r="C560" s="12"/>
      <c r="D560" s="12"/>
      <c r="E560" s="12"/>
      <c r="F560" s="13"/>
      <c r="G560" s="12"/>
    </row>
    <row r="561">
      <c r="A561" s="4"/>
      <c r="B561" s="12"/>
      <c r="C561" s="12"/>
      <c r="D561" s="12"/>
      <c r="E561" s="12"/>
      <c r="F561" s="13"/>
      <c r="G561" s="12"/>
    </row>
    <row r="562">
      <c r="A562" s="4"/>
      <c r="B562" s="12"/>
      <c r="C562" s="12"/>
      <c r="D562" s="12"/>
      <c r="E562" s="12"/>
      <c r="F562" s="13"/>
      <c r="G562" s="12"/>
    </row>
    <row r="563">
      <c r="A563" s="4"/>
      <c r="B563" s="12"/>
      <c r="C563" s="12"/>
      <c r="D563" s="12"/>
      <c r="E563" s="12"/>
      <c r="F563" s="13"/>
      <c r="G563" s="12"/>
    </row>
    <row r="564">
      <c r="A564" s="4"/>
      <c r="B564" s="12"/>
      <c r="C564" s="12"/>
      <c r="D564" s="12"/>
      <c r="E564" s="12"/>
      <c r="F564" s="13"/>
      <c r="G564" s="12"/>
    </row>
    <row r="565">
      <c r="A565" s="4"/>
      <c r="B565" s="12"/>
      <c r="C565" s="12"/>
      <c r="D565" s="12"/>
      <c r="E565" s="12"/>
      <c r="F565" s="13"/>
      <c r="G565" s="12"/>
    </row>
    <row r="566">
      <c r="A566" s="4"/>
      <c r="B566" s="12"/>
      <c r="C566" s="12"/>
      <c r="D566" s="12"/>
      <c r="E566" s="12"/>
      <c r="F566" s="13"/>
      <c r="G566" s="12"/>
    </row>
    <row r="567">
      <c r="A567" s="4"/>
      <c r="B567" s="12"/>
      <c r="C567" s="12"/>
      <c r="D567" s="12"/>
      <c r="E567" s="12"/>
      <c r="F567" s="13"/>
      <c r="G567" s="12"/>
    </row>
    <row r="568">
      <c r="A568" s="4"/>
      <c r="B568" s="12"/>
      <c r="C568" s="12"/>
      <c r="D568" s="12"/>
      <c r="E568" s="12"/>
      <c r="F568" s="13"/>
      <c r="G568" s="12"/>
    </row>
    <row r="569">
      <c r="A569" s="4"/>
      <c r="B569" s="12"/>
      <c r="C569" s="12"/>
      <c r="D569" s="12"/>
      <c r="E569" s="12"/>
      <c r="F569" s="13"/>
      <c r="G569" s="12"/>
    </row>
    <row r="570">
      <c r="A570" s="4"/>
      <c r="B570" s="12"/>
      <c r="C570" s="12"/>
      <c r="D570" s="12"/>
      <c r="E570" s="12"/>
      <c r="F570" s="13"/>
      <c r="G570" s="12"/>
    </row>
    <row r="571">
      <c r="A571" s="4"/>
      <c r="B571" s="12"/>
      <c r="C571" s="12"/>
      <c r="D571" s="12"/>
      <c r="E571" s="12"/>
      <c r="F571" s="13"/>
      <c r="G571" s="12"/>
    </row>
    <row r="572">
      <c r="A572" s="4"/>
      <c r="B572" s="12"/>
      <c r="C572" s="12"/>
      <c r="D572" s="12"/>
      <c r="E572" s="12"/>
      <c r="F572" s="13"/>
      <c r="G572" s="12"/>
    </row>
    <row r="573">
      <c r="A573" s="4"/>
      <c r="B573" s="12"/>
      <c r="C573" s="12"/>
      <c r="D573" s="12"/>
      <c r="E573" s="12"/>
      <c r="F573" s="13"/>
      <c r="G573" s="12"/>
    </row>
    <row r="574">
      <c r="A574" s="4"/>
      <c r="B574" s="12"/>
      <c r="C574" s="12"/>
      <c r="D574" s="12"/>
      <c r="E574" s="12"/>
      <c r="F574" s="13"/>
      <c r="G574" s="12"/>
    </row>
    <row r="575">
      <c r="A575" s="4"/>
      <c r="B575" s="12"/>
      <c r="C575" s="12"/>
      <c r="D575" s="12"/>
      <c r="E575" s="12"/>
      <c r="F575" s="13"/>
      <c r="G575" s="12"/>
    </row>
    <row r="576">
      <c r="A576" s="4"/>
      <c r="B576" s="12"/>
      <c r="C576" s="12"/>
      <c r="D576" s="12"/>
      <c r="E576" s="12"/>
      <c r="F576" s="13"/>
      <c r="G576" s="12"/>
    </row>
    <row r="577">
      <c r="A577" s="4"/>
      <c r="B577" s="12"/>
      <c r="C577" s="12"/>
      <c r="D577" s="12"/>
      <c r="E577" s="12"/>
      <c r="F577" s="13"/>
      <c r="G577" s="12"/>
    </row>
    <row r="578">
      <c r="A578" s="4"/>
      <c r="B578" s="12"/>
      <c r="C578" s="12"/>
      <c r="D578" s="12"/>
      <c r="E578" s="12"/>
      <c r="F578" s="13"/>
      <c r="G578" s="12"/>
    </row>
    <row r="579">
      <c r="A579" s="4"/>
      <c r="B579" s="12"/>
      <c r="C579" s="12"/>
      <c r="D579" s="12"/>
      <c r="E579" s="12"/>
      <c r="F579" s="13"/>
      <c r="G579" s="12"/>
    </row>
    <row r="580">
      <c r="A580" s="4"/>
      <c r="B580" s="12"/>
      <c r="C580" s="12"/>
      <c r="D580" s="12"/>
      <c r="E580" s="12"/>
      <c r="F580" s="13"/>
      <c r="G580" s="12"/>
    </row>
    <row r="581">
      <c r="A581" s="4"/>
      <c r="B581" s="12"/>
      <c r="C581" s="12"/>
      <c r="D581" s="12"/>
      <c r="E581" s="12"/>
      <c r="F581" s="13"/>
      <c r="G581" s="12"/>
    </row>
    <row r="582">
      <c r="A582" s="4"/>
      <c r="B582" s="12"/>
      <c r="C582" s="12"/>
      <c r="D582" s="12"/>
      <c r="E582" s="12"/>
      <c r="F582" s="13"/>
      <c r="G582" s="12"/>
    </row>
    <row r="583">
      <c r="A583" s="4"/>
      <c r="B583" s="12"/>
      <c r="C583" s="12"/>
      <c r="D583" s="12"/>
      <c r="E583" s="12"/>
      <c r="F583" s="13"/>
      <c r="G583" s="12"/>
    </row>
    <row r="584">
      <c r="A584" s="4"/>
      <c r="B584" s="12"/>
      <c r="C584" s="12"/>
      <c r="D584" s="12"/>
      <c r="E584" s="12"/>
      <c r="F584" s="13"/>
      <c r="G584" s="12"/>
    </row>
    <row r="585">
      <c r="A585" s="4"/>
      <c r="B585" s="12"/>
      <c r="C585" s="12"/>
      <c r="D585" s="12"/>
      <c r="E585" s="12"/>
      <c r="F585" s="13"/>
      <c r="G585" s="12"/>
    </row>
    <row r="586">
      <c r="A586" s="4"/>
      <c r="B586" s="12"/>
      <c r="C586" s="12"/>
      <c r="D586" s="12"/>
      <c r="E586" s="12"/>
      <c r="F586" s="13"/>
      <c r="G586" s="12"/>
    </row>
    <row r="587">
      <c r="A587" s="4"/>
      <c r="B587" s="12"/>
      <c r="C587" s="12"/>
      <c r="D587" s="12"/>
      <c r="E587" s="12"/>
      <c r="F587" s="13"/>
      <c r="G587" s="12"/>
    </row>
    <row r="588">
      <c r="A588" s="4"/>
      <c r="B588" s="12"/>
      <c r="C588" s="12"/>
      <c r="D588" s="12"/>
      <c r="E588" s="12"/>
      <c r="F588" s="13"/>
      <c r="G588" s="12"/>
    </row>
    <row r="589">
      <c r="A589" s="4"/>
      <c r="B589" s="12"/>
      <c r="C589" s="12"/>
      <c r="D589" s="12"/>
      <c r="E589" s="12"/>
      <c r="F589" s="13"/>
      <c r="G589" s="12"/>
    </row>
    <row r="590">
      <c r="A590" s="4"/>
      <c r="B590" s="12"/>
      <c r="C590" s="12"/>
      <c r="D590" s="12"/>
      <c r="E590" s="12"/>
      <c r="F590" s="13"/>
      <c r="G590" s="12"/>
    </row>
    <row r="591">
      <c r="A591" s="4"/>
      <c r="B591" s="12"/>
      <c r="C591" s="12"/>
      <c r="D591" s="12"/>
      <c r="E591" s="12"/>
      <c r="F591" s="13"/>
      <c r="G591" s="12"/>
    </row>
    <row r="592">
      <c r="A592" s="4"/>
      <c r="B592" s="12"/>
      <c r="C592" s="12"/>
      <c r="D592" s="12"/>
      <c r="E592" s="12"/>
      <c r="F592" s="13"/>
      <c r="G592" s="12"/>
    </row>
    <row r="593">
      <c r="A593" s="4"/>
      <c r="B593" s="12"/>
      <c r="C593" s="12"/>
      <c r="D593" s="12"/>
      <c r="E593" s="12"/>
      <c r="F593" s="13"/>
      <c r="G593" s="12"/>
    </row>
    <row r="594">
      <c r="A594" s="4"/>
      <c r="B594" s="12"/>
      <c r="C594" s="12"/>
      <c r="D594" s="12"/>
      <c r="E594" s="12"/>
      <c r="F594" s="13"/>
      <c r="G594" s="12"/>
    </row>
    <row r="595">
      <c r="A595" s="4"/>
      <c r="B595" s="12"/>
      <c r="C595" s="12"/>
      <c r="D595" s="12"/>
      <c r="E595" s="12"/>
      <c r="F595" s="13"/>
      <c r="G595" s="12"/>
    </row>
    <row r="596">
      <c r="A596" s="4"/>
      <c r="B596" s="12"/>
      <c r="C596" s="12"/>
      <c r="D596" s="12"/>
      <c r="E596" s="12"/>
      <c r="F596" s="13"/>
      <c r="G596" s="12"/>
    </row>
    <row r="597">
      <c r="A597" s="4"/>
      <c r="B597" s="12"/>
      <c r="C597" s="12"/>
      <c r="D597" s="12"/>
      <c r="E597" s="12"/>
      <c r="F597" s="13"/>
      <c r="G597" s="12"/>
    </row>
    <row r="598">
      <c r="A598" s="4"/>
      <c r="B598" s="12"/>
      <c r="C598" s="12"/>
      <c r="D598" s="12"/>
      <c r="E598" s="12"/>
      <c r="F598" s="13"/>
      <c r="G598" s="12"/>
    </row>
    <row r="599">
      <c r="A599" s="4"/>
      <c r="B599" s="12"/>
      <c r="C599" s="12"/>
      <c r="D599" s="12"/>
      <c r="E599" s="12"/>
      <c r="F599" s="13"/>
      <c r="G599" s="12"/>
    </row>
    <row r="600">
      <c r="A600" s="4"/>
      <c r="B600" s="12"/>
      <c r="C600" s="12"/>
      <c r="D600" s="12"/>
      <c r="E600" s="12"/>
      <c r="F600" s="13"/>
      <c r="G600" s="12"/>
    </row>
    <row r="601">
      <c r="A601" s="4"/>
      <c r="B601" s="12"/>
      <c r="C601" s="12"/>
      <c r="D601" s="12"/>
      <c r="E601" s="12"/>
      <c r="F601" s="13"/>
      <c r="G601" s="12"/>
    </row>
    <row r="602">
      <c r="A602" s="4"/>
      <c r="B602" s="12"/>
      <c r="C602" s="12"/>
      <c r="D602" s="12"/>
      <c r="E602" s="12"/>
      <c r="F602" s="13"/>
      <c r="G602" s="12"/>
    </row>
    <row r="603">
      <c r="A603" s="4"/>
      <c r="B603" s="12"/>
      <c r="C603" s="12"/>
      <c r="D603" s="12"/>
      <c r="E603" s="12"/>
      <c r="F603" s="13"/>
      <c r="G603" s="12"/>
    </row>
    <row r="604">
      <c r="A604" s="4"/>
      <c r="B604" s="12"/>
      <c r="C604" s="12"/>
      <c r="D604" s="12"/>
      <c r="E604" s="12"/>
      <c r="F604" s="13"/>
      <c r="G604" s="12"/>
    </row>
    <row r="605">
      <c r="A605" s="4"/>
      <c r="B605" s="12"/>
      <c r="C605" s="12"/>
      <c r="D605" s="12"/>
      <c r="E605" s="12"/>
      <c r="F605" s="13"/>
      <c r="G605" s="12"/>
    </row>
    <row r="606">
      <c r="A606" s="4"/>
      <c r="B606" s="12"/>
      <c r="C606" s="12"/>
      <c r="D606" s="12"/>
      <c r="E606" s="12"/>
      <c r="F606" s="13"/>
      <c r="G606" s="12"/>
    </row>
    <row r="607">
      <c r="A607" s="4"/>
      <c r="B607" s="12"/>
      <c r="C607" s="12"/>
      <c r="D607" s="12"/>
      <c r="E607" s="12"/>
      <c r="F607" s="13"/>
      <c r="G607" s="12"/>
    </row>
    <row r="608">
      <c r="A608" s="4"/>
      <c r="B608" s="12"/>
      <c r="C608" s="12"/>
      <c r="D608" s="12"/>
      <c r="E608" s="12"/>
      <c r="F608" s="13"/>
      <c r="G608" s="12"/>
    </row>
    <row r="609">
      <c r="A609" s="4"/>
      <c r="B609" s="12"/>
      <c r="C609" s="12"/>
      <c r="D609" s="12"/>
      <c r="E609" s="12"/>
      <c r="F609" s="13"/>
      <c r="G609" s="12"/>
    </row>
    <row r="610">
      <c r="A610" s="4"/>
      <c r="B610" s="12"/>
      <c r="C610" s="12"/>
      <c r="D610" s="12"/>
      <c r="E610" s="12"/>
      <c r="F610" s="13"/>
      <c r="G610" s="12"/>
    </row>
    <row r="611">
      <c r="A611" s="4"/>
      <c r="B611" s="12"/>
      <c r="C611" s="12"/>
      <c r="D611" s="12"/>
      <c r="E611" s="12"/>
      <c r="F611" s="13"/>
      <c r="G611" s="12"/>
    </row>
    <row r="612">
      <c r="A612" s="4"/>
      <c r="B612" s="12"/>
      <c r="C612" s="12"/>
      <c r="D612" s="12"/>
      <c r="E612" s="12"/>
      <c r="F612" s="13"/>
      <c r="G612" s="12"/>
    </row>
    <row r="613">
      <c r="A613" s="4"/>
      <c r="B613" s="12"/>
      <c r="C613" s="12"/>
      <c r="D613" s="12"/>
      <c r="E613" s="12"/>
      <c r="F613" s="13"/>
      <c r="G613" s="12"/>
    </row>
    <row r="614">
      <c r="A614" s="4"/>
      <c r="B614" s="12"/>
      <c r="C614" s="12"/>
      <c r="D614" s="12"/>
      <c r="E614" s="12"/>
      <c r="F614" s="13"/>
      <c r="G614" s="12"/>
    </row>
    <row r="615">
      <c r="A615" s="4"/>
      <c r="B615" s="12"/>
      <c r="C615" s="12"/>
      <c r="D615" s="12"/>
      <c r="E615" s="12"/>
      <c r="F615" s="13"/>
      <c r="G615" s="12"/>
    </row>
    <row r="616">
      <c r="A616" s="4"/>
      <c r="B616" s="12"/>
      <c r="C616" s="12"/>
      <c r="D616" s="12"/>
      <c r="E616" s="12"/>
      <c r="F616" s="13"/>
      <c r="G616" s="12"/>
    </row>
    <row r="617">
      <c r="A617" s="4"/>
      <c r="B617" s="12"/>
      <c r="C617" s="12"/>
      <c r="D617" s="12"/>
      <c r="E617" s="12"/>
      <c r="F617" s="13"/>
      <c r="G617" s="12"/>
    </row>
    <row r="618">
      <c r="A618" s="4"/>
      <c r="B618" s="12"/>
      <c r="C618" s="12"/>
      <c r="D618" s="12"/>
      <c r="E618" s="12"/>
      <c r="F618" s="13"/>
      <c r="G618" s="12"/>
    </row>
    <row r="619">
      <c r="A619" s="4"/>
      <c r="B619" s="12"/>
      <c r="C619" s="12"/>
      <c r="D619" s="12"/>
      <c r="E619" s="12"/>
      <c r="F619" s="13"/>
      <c r="G619" s="12"/>
    </row>
    <row r="620">
      <c r="A620" s="4"/>
      <c r="B620" s="12"/>
      <c r="C620" s="12"/>
      <c r="D620" s="12"/>
      <c r="E620" s="12"/>
      <c r="F620" s="13"/>
      <c r="G620" s="12"/>
    </row>
    <row r="621">
      <c r="A621" s="4"/>
      <c r="B621" s="12"/>
      <c r="C621" s="12"/>
      <c r="D621" s="12"/>
      <c r="E621" s="12"/>
      <c r="F621" s="13"/>
      <c r="G621" s="12"/>
    </row>
    <row r="622">
      <c r="A622" s="4"/>
      <c r="B622" s="12"/>
      <c r="C622" s="12"/>
      <c r="D622" s="12"/>
      <c r="E622" s="12"/>
      <c r="F622" s="13"/>
      <c r="G622" s="12"/>
    </row>
    <row r="623">
      <c r="A623" s="4"/>
      <c r="B623" s="12"/>
      <c r="C623" s="12"/>
      <c r="D623" s="12"/>
      <c r="E623" s="12"/>
      <c r="F623" s="13"/>
      <c r="G623" s="12"/>
    </row>
    <row r="624">
      <c r="A624" s="4"/>
      <c r="B624" s="12"/>
      <c r="C624" s="12"/>
      <c r="D624" s="12"/>
      <c r="E624" s="12"/>
      <c r="F624" s="13"/>
      <c r="G624" s="12"/>
    </row>
    <row r="625">
      <c r="A625" s="4"/>
      <c r="B625" s="12"/>
      <c r="C625" s="12"/>
      <c r="D625" s="12"/>
      <c r="E625" s="12"/>
      <c r="F625" s="13"/>
      <c r="G625" s="12"/>
    </row>
    <row r="626">
      <c r="A626" s="4"/>
      <c r="B626" s="12"/>
      <c r="C626" s="12"/>
      <c r="D626" s="12"/>
      <c r="E626" s="12"/>
      <c r="F626" s="13"/>
      <c r="G626" s="12"/>
    </row>
    <row r="627">
      <c r="A627" s="4"/>
      <c r="B627" s="12"/>
      <c r="C627" s="12"/>
      <c r="D627" s="12"/>
      <c r="E627" s="12"/>
      <c r="F627" s="13"/>
      <c r="G627" s="12"/>
    </row>
    <row r="628">
      <c r="A628" s="4"/>
      <c r="B628" s="12"/>
      <c r="C628" s="12"/>
      <c r="D628" s="12"/>
      <c r="E628" s="12"/>
      <c r="F628" s="13"/>
      <c r="G628" s="12"/>
    </row>
    <row r="629">
      <c r="A629" s="4"/>
      <c r="B629" s="12"/>
      <c r="C629" s="12"/>
      <c r="D629" s="12"/>
      <c r="E629" s="12"/>
      <c r="F629" s="13"/>
      <c r="G629" s="12"/>
    </row>
    <row r="630">
      <c r="A630" s="4"/>
      <c r="B630" s="12"/>
      <c r="C630" s="12"/>
      <c r="D630" s="12"/>
      <c r="E630" s="12"/>
      <c r="F630" s="13"/>
      <c r="G630" s="12"/>
    </row>
    <row r="631">
      <c r="A631" s="4"/>
      <c r="B631" s="12"/>
      <c r="C631" s="12"/>
      <c r="D631" s="12"/>
      <c r="E631" s="12"/>
      <c r="F631" s="13"/>
      <c r="G631" s="12"/>
    </row>
    <row r="632">
      <c r="A632" s="4"/>
      <c r="B632" s="12"/>
      <c r="C632" s="12"/>
      <c r="D632" s="12"/>
      <c r="E632" s="12"/>
      <c r="F632" s="13"/>
      <c r="G632" s="12"/>
    </row>
    <row r="633">
      <c r="A633" s="4"/>
      <c r="B633" s="12"/>
      <c r="C633" s="12"/>
      <c r="D633" s="12"/>
      <c r="E633" s="12"/>
      <c r="F633" s="13"/>
      <c r="G633" s="12"/>
    </row>
    <row r="634">
      <c r="A634" s="4"/>
      <c r="B634" s="12"/>
      <c r="C634" s="12"/>
      <c r="D634" s="12"/>
      <c r="E634" s="12"/>
      <c r="F634" s="13"/>
      <c r="G634" s="12"/>
    </row>
    <row r="635">
      <c r="A635" s="4"/>
      <c r="B635" s="12"/>
      <c r="C635" s="12"/>
      <c r="D635" s="12"/>
      <c r="E635" s="12"/>
      <c r="F635" s="13"/>
      <c r="G635" s="12"/>
    </row>
    <row r="636">
      <c r="A636" s="4"/>
      <c r="B636" s="12"/>
      <c r="C636" s="12"/>
      <c r="D636" s="12"/>
      <c r="E636" s="12"/>
      <c r="F636" s="13"/>
      <c r="G636" s="12"/>
    </row>
    <row r="637">
      <c r="A637" s="4"/>
      <c r="B637" s="12"/>
      <c r="C637" s="12"/>
      <c r="D637" s="12"/>
      <c r="E637" s="12"/>
      <c r="F637" s="13"/>
      <c r="G637" s="12"/>
    </row>
    <row r="638">
      <c r="A638" s="4"/>
      <c r="B638" s="12"/>
      <c r="C638" s="12"/>
      <c r="D638" s="12"/>
      <c r="E638" s="12"/>
      <c r="F638" s="13"/>
      <c r="G638" s="12"/>
    </row>
    <row r="639">
      <c r="A639" s="4"/>
      <c r="B639" s="12"/>
      <c r="C639" s="12"/>
      <c r="D639" s="12"/>
      <c r="E639" s="12"/>
      <c r="F639" s="13"/>
      <c r="G639" s="12"/>
    </row>
    <row r="640">
      <c r="A640" s="4"/>
      <c r="B640" s="12"/>
      <c r="C640" s="12"/>
      <c r="D640" s="12"/>
      <c r="E640" s="12"/>
      <c r="F640" s="13"/>
      <c r="G640" s="12"/>
    </row>
    <row r="641">
      <c r="A641" s="4"/>
      <c r="B641" s="12"/>
      <c r="C641" s="12"/>
      <c r="D641" s="12"/>
      <c r="E641" s="12"/>
      <c r="F641" s="13"/>
      <c r="G641" s="12"/>
    </row>
    <row r="642">
      <c r="A642" s="4"/>
      <c r="B642" s="12"/>
      <c r="C642" s="12"/>
      <c r="D642" s="12"/>
      <c r="E642" s="12"/>
      <c r="F642" s="13"/>
      <c r="G642" s="12"/>
    </row>
    <row r="643">
      <c r="A643" s="4"/>
      <c r="B643" s="12"/>
      <c r="C643" s="12"/>
      <c r="D643" s="12"/>
      <c r="E643" s="12"/>
      <c r="F643" s="13"/>
      <c r="G643" s="12"/>
    </row>
    <row r="644">
      <c r="A644" s="4"/>
      <c r="B644" s="12"/>
      <c r="C644" s="12"/>
      <c r="D644" s="12"/>
      <c r="E644" s="12"/>
      <c r="F644" s="13"/>
      <c r="G644" s="12"/>
    </row>
    <row r="645">
      <c r="A645" s="4"/>
      <c r="B645" s="12"/>
      <c r="C645" s="12"/>
      <c r="D645" s="12"/>
      <c r="E645" s="12"/>
      <c r="F645" s="13"/>
      <c r="G645" s="12"/>
    </row>
    <row r="646">
      <c r="A646" s="4"/>
      <c r="B646" s="12"/>
      <c r="C646" s="12"/>
      <c r="D646" s="12"/>
      <c r="E646" s="12"/>
      <c r="F646" s="13"/>
      <c r="G646" s="12"/>
    </row>
    <row r="647">
      <c r="A647" s="4"/>
      <c r="B647" s="12"/>
      <c r="C647" s="12"/>
      <c r="D647" s="12"/>
      <c r="E647" s="12"/>
      <c r="F647" s="13"/>
      <c r="G647" s="12"/>
    </row>
    <row r="648">
      <c r="A648" s="4"/>
      <c r="B648" s="12"/>
      <c r="C648" s="12"/>
      <c r="D648" s="12"/>
      <c r="E648" s="12"/>
      <c r="F648" s="13"/>
      <c r="G648" s="12"/>
    </row>
    <row r="649">
      <c r="A649" s="4"/>
      <c r="B649" s="12"/>
      <c r="C649" s="12"/>
      <c r="D649" s="12"/>
      <c r="E649" s="12"/>
      <c r="F649" s="13"/>
      <c r="G649" s="12"/>
    </row>
    <row r="650">
      <c r="A650" s="4"/>
      <c r="B650" s="12"/>
      <c r="C650" s="12"/>
      <c r="D650" s="12"/>
      <c r="E650" s="12"/>
      <c r="F650" s="13"/>
      <c r="G650" s="12"/>
    </row>
    <row r="651">
      <c r="A651" s="4"/>
      <c r="B651" s="12"/>
      <c r="C651" s="12"/>
      <c r="D651" s="12"/>
      <c r="E651" s="12"/>
      <c r="F651" s="13"/>
      <c r="G651" s="12"/>
    </row>
    <row r="652">
      <c r="A652" s="4"/>
      <c r="B652" s="12"/>
      <c r="C652" s="12"/>
      <c r="D652" s="12"/>
      <c r="E652" s="12"/>
      <c r="F652" s="13"/>
      <c r="G652" s="12"/>
    </row>
    <row r="653">
      <c r="A653" s="4"/>
      <c r="B653" s="12"/>
      <c r="C653" s="12"/>
      <c r="D653" s="12"/>
      <c r="E653" s="12"/>
      <c r="F653" s="13"/>
      <c r="G653" s="12"/>
    </row>
    <row r="654">
      <c r="A654" s="4"/>
      <c r="B654" s="12"/>
      <c r="C654" s="12"/>
      <c r="D654" s="12"/>
      <c r="E654" s="12"/>
      <c r="F654" s="13"/>
      <c r="G654" s="12"/>
    </row>
    <row r="655">
      <c r="A655" s="4"/>
      <c r="B655" s="12"/>
      <c r="C655" s="12"/>
      <c r="D655" s="12"/>
      <c r="E655" s="12"/>
      <c r="F655" s="13"/>
      <c r="G655" s="12"/>
    </row>
    <row r="656">
      <c r="A656" s="4"/>
      <c r="B656" s="12"/>
      <c r="C656" s="12"/>
      <c r="D656" s="12"/>
      <c r="E656" s="12"/>
      <c r="F656" s="13"/>
      <c r="G656" s="12"/>
    </row>
    <row r="657">
      <c r="A657" s="4"/>
      <c r="B657" s="12"/>
      <c r="C657" s="12"/>
      <c r="D657" s="12"/>
      <c r="E657" s="12"/>
      <c r="F657" s="13"/>
      <c r="G657" s="12"/>
    </row>
    <row r="658">
      <c r="A658" s="4"/>
      <c r="B658" s="12"/>
      <c r="C658" s="12"/>
      <c r="D658" s="12"/>
      <c r="E658" s="12"/>
      <c r="F658" s="13"/>
      <c r="G658" s="12"/>
    </row>
    <row r="659">
      <c r="A659" s="4"/>
      <c r="B659" s="12"/>
      <c r="C659" s="12"/>
      <c r="D659" s="12"/>
      <c r="E659" s="12"/>
      <c r="F659" s="13"/>
      <c r="G659" s="12"/>
    </row>
    <row r="660">
      <c r="A660" s="4"/>
      <c r="B660" s="12"/>
      <c r="C660" s="12"/>
      <c r="D660" s="12"/>
      <c r="E660" s="12"/>
      <c r="F660" s="13"/>
      <c r="G660" s="12"/>
    </row>
    <row r="661">
      <c r="A661" s="4"/>
      <c r="B661" s="12"/>
      <c r="C661" s="12"/>
      <c r="D661" s="12"/>
      <c r="E661" s="12"/>
      <c r="F661" s="13"/>
      <c r="G661" s="12"/>
    </row>
    <row r="662">
      <c r="A662" s="4"/>
      <c r="B662" s="12"/>
      <c r="C662" s="12"/>
      <c r="D662" s="12"/>
      <c r="E662" s="12"/>
      <c r="F662" s="13"/>
      <c r="G662" s="12"/>
    </row>
    <row r="663">
      <c r="A663" s="4"/>
      <c r="B663" s="12"/>
      <c r="C663" s="12"/>
      <c r="D663" s="12"/>
      <c r="E663" s="12"/>
      <c r="F663" s="13"/>
      <c r="G663" s="12"/>
    </row>
    <row r="664">
      <c r="A664" s="4"/>
      <c r="B664" s="12"/>
      <c r="C664" s="12"/>
      <c r="D664" s="12"/>
      <c r="E664" s="12"/>
      <c r="F664" s="13"/>
      <c r="G664" s="12"/>
    </row>
    <row r="665">
      <c r="A665" s="4"/>
      <c r="B665" s="12"/>
      <c r="C665" s="12"/>
      <c r="D665" s="12"/>
      <c r="E665" s="12"/>
      <c r="F665" s="13"/>
      <c r="G665" s="12"/>
    </row>
    <row r="666">
      <c r="A666" s="4"/>
      <c r="B666" s="12"/>
      <c r="C666" s="12"/>
      <c r="D666" s="12"/>
      <c r="E666" s="12"/>
      <c r="F666" s="13"/>
      <c r="G666" s="12"/>
    </row>
    <row r="667">
      <c r="A667" s="4"/>
      <c r="B667" s="12"/>
      <c r="C667" s="12"/>
      <c r="D667" s="12"/>
      <c r="E667" s="12"/>
      <c r="F667" s="13"/>
      <c r="G667" s="12"/>
    </row>
    <row r="668">
      <c r="A668" s="4"/>
      <c r="B668" s="12"/>
      <c r="C668" s="12"/>
      <c r="D668" s="12"/>
      <c r="E668" s="12"/>
      <c r="F668" s="13"/>
      <c r="G668" s="12"/>
    </row>
    <row r="669">
      <c r="A669" s="4"/>
      <c r="B669" s="12"/>
      <c r="C669" s="12"/>
      <c r="D669" s="12"/>
      <c r="E669" s="12"/>
      <c r="F669" s="13"/>
      <c r="G669" s="12"/>
    </row>
    <row r="670">
      <c r="A670" s="4"/>
      <c r="B670" s="12"/>
      <c r="C670" s="12"/>
      <c r="D670" s="12"/>
      <c r="E670" s="12"/>
      <c r="F670" s="13"/>
      <c r="G670" s="12"/>
    </row>
    <row r="671">
      <c r="A671" s="4"/>
      <c r="B671" s="12"/>
      <c r="C671" s="12"/>
      <c r="D671" s="12"/>
      <c r="E671" s="12"/>
      <c r="F671" s="13"/>
      <c r="G671" s="12"/>
    </row>
    <row r="672">
      <c r="A672" s="4"/>
      <c r="B672" s="12"/>
      <c r="C672" s="12"/>
      <c r="D672" s="12"/>
      <c r="E672" s="12"/>
      <c r="F672" s="13"/>
      <c r="G672" s="12"/>
    </row>
    <row r="673">
      <c r="A673" s="4"/>
      <c r="B673" s="12"/>
      <c r="C673" s="12"/>
      <c r="D673" s="12"/>
      <c r="E673" s="12"/>
      <c r="F673" s="13"/>
      <c r="G673" s="12"/>
    </row>
    <row r="674">
      <c r="A674" s="4"/>
      <c r="B674" s="12"/>
      <c r="C674" s="12"/>
      <c r="D674" s="12"/>
      <c r="E674" s="12"/>
      <c r="F674" s="13"/>
      <c r="G674" s="12"/>
    </row>
    <row r="675">
      <c r="A675" s="4"/>
      <c r="B675" s="12"/>
      <c r="C675" s="12"/>
      <c r="D675" s="12"/>
      <c r="E675" s="12"/>
      <c r="F675" s="13"/>
      <c r="G675" s="12"/>
    </row>
    <row r="676">
      <c r="A676" s="4"/>
      <c r="B676" s="12"/>
      <c r="C676" s="12"/>
      <c r="D676" s="12"/>
      <c r="E676" s="12"/>
      <c r="F676" s="13"/>
      <c r="G676" s="12"/>
    </row>
    <row r="677">
      <c r="A677" s="4"/>
      <c r="B677" s="12"/>
      <c r="C677" s="12"/>
      <c r="D677" s="12"/>
      <c r="E677" s="12"/>
      <c r="F677" s="13"/>
      <c r="G677" s="12"/>
    </row>
    <row r="678">
      <c r="A678" s="4"/>
      <c r="B678" s="12"/>
      <c r="C678" s="12"/>
      <c r="D678" s="12"/>
      <c r="E678" s="12"/>
      <c r="F678" s="13"/>
      <c r="G678" s="12"/>
    </row>
    <row r="679">
      <c r="A679" s="4"/>
      <c r="B679" s="12"/>
      <c r="C679" s="12"/>
      <c r="D679" s="12"/>
      <c r="E679" s="12"/>
      <c r="F679" s="13"/>
      <c r="G679" s="12"/>
    </row>
    <row r="680">
      <c r="A680" s="4"/>
      <c r="B680" s="12"/>
      <c r="C680" s="12"/>
      <c r="D680" s="12"/>
      <c r="E680" s="12"/>
      <c r="F680" s="13"/>
      <c r="G680" s="12"/>
    </row>
    <row r="681">
      <c r="A681" s="4"/>
      <c r="B681" s="12"/>
      <c r="C681" s="12"/>
      <c r="D681" s="12"/>
      <c r="E681" s="12"/>
      <c r="F681" s="13"/>
      <c r="G681" s="12"/>
    </row>
    <row r="682">
      <c r="A682" s="4"/>
      <c r="B682" s="12"/>
      <c r="C682" s="12"/>
      <c r="D682" s="12"/>
      <c r="E682" s="12"/>
      <c r="F682" s="13"/>
      <c r="G682" s="12"/>
    </row>
    <row r="683">
      <c r="A683" s="4"/>
      <c r="B683" s="12"/>
      <c r="C683" s="12"/>
      <c r="D683" s="12"/>
      <c r="E683" s="12"/>
      <c r="F683" s="13"/>
      <c r="G683" s="12"/>
    </row>
    <row r="684">
      <c r="A684" s="4"/>
      <c r="B684" s="12"/>
      <c r="C684" s="12"/>
      <c r="D684" s="12"/>
      <c r="E684" s="12"/>
      <c r="F684" s="13"/>
      <c r="G684" s="12"/>
    </row>
    <row r="685">
      <c r="A685" s="4"/>
      <c r="B685" s="12"/>
      <c r="C685" s="12"/>
      <c r="D685" s="12"/>
      <c r="E685" s="12"/>
      <c r="F685" s="13"/>
      <c r="G685" s="12"/>
    </row>
    <row r="686">
      <c r="A686" s="4"/>
      <c r="B686" s="12"/>
      <c r="C686" s="12"/>
      <c r="D686" s="12"/>
      <c r="E686" s="12"/>
      <c r="F686" s="13"/>
      <c r="G686" s="12"/>
    </row>
    <row r="687">
      <c r="A687" s="4"/>
      <c r="B687" s="12"/>
      <c r="C687" s="12"/>
      <c r="D687" s="12"/>
      <c r="E687" s="12"/>
      <c r="F687" s="13"/>
      <c r="G687" s="12"/>
    </row>
    <row r="688">
      <c r="A688" s="4"/>
      <c r="B688" s="12"/>
      <c r="C688" s="12"/>
      <c r="D688" s="12"/>
      <c r="E688" s="12"/>
      <c r="F688" s="13"/>
      <c r="G688" s="12"/>
    </row>
    <row r="689">
      <c r="A689" s="4"/>
      <c r="B689" s="12"/>
      <c r="C689" s="12"/>
      <c r="D689" s="12"/>
      <c r="E689" s="12"/>
      <c r="F689" s="13"/>
      <c r="G689" s="12"/>
    </row>
    <row r="690">
      <c r="A690" s="4"/>
      <c r="B690" s="12"/>
      <c r="C690" s="12"/>
      <c r="D690" s="12"/>
      <c r="E690" s="12"/>
      <c r="F690" s="13"/>
      <c r="G690" s="12"/>
    </row>
    <row r="691">
      <c r="A691" s="4"/>
      <c r="B691" s="12"/>
      <c r="C691" s="12"/>
      <c r="D691" s="12"/>
      <c r="E691" s="12"/>
      <c r="F691" s="13"/>
      <c r="G691" s="12"/>
    </row>
    <row r="692">
      <c r="A692" s="4"/>
      <c r="B692" s="12"/>
      <c r="C692" s="12"/>
      <c r="D692" s="12"/>
      <c r="E692" s="12"/>
      <c r="F692" s="13"/>
      <c r="G692" s="12"/>
    </row>
    <row r="693">
      <c r="A693" s="4"/>
      <c r="B693" s="12"/>
      <c r="C693" s="12"/>
      <c r="D693" s="12"/>
      <c r="E693" s="12"/>
      <c r="F693" s="13"/>
      <c r="G693" s="12"/>
    </row>
    <row r="694">
      <c r="A694" s="4"/>
      <c r="B694" s="12"/>
      <c r="C694" s="12"/>
      <c r="D694" s="12"/>
      <c r="E694" s="12"/>
      <c r="F694" s="13"/>
      <c r="G694" s="12"/>
    </row>
    <row r="695">
      <c r="A695" s="4"/>
      <c r="B695" s="12"/>
      <c r="C695" s="12"/>
      <c r="D695" s="12"/>
      <c r="E695" s="12"/>
      <c r="F695" s="13"/>
      <c r="G695" s="12"/>
    </row>
    <row r="696">
      <c r="A696" s="4"/>
      <c r="B696" s="12"/>
      <c r="C696" s="12"/>
      <c r="D696" s="12"/>
      <c r="E696" s="12"/>
      <c r="F696" s="13"/>
      <c r="G696" s="12"/>
    </row>
    <row r="697">
      <c r="A697" s="4"/>
      <c r="B697" s="12"/>
      <c r="C697" s="12"/>
      <c r="D697" s="12"/>
      <c r="E697" s="12"/>
      <c r="F697" s="13"/>
      <c r="G697" s="12"/>
    </row>
    <row r="698">
      <c r="A698" s="4"/>
      <c r="B698" s="12"/>
      <c r="C698" s="12"/>
      <c r="D698" s="12"/>
      <c r="E698" s="12"/>
      <c r="F698" s="13"/>
      <c r="G698" s="12"/>
    </row>
    <row r="699">
      <c r="A699" s="4"/>
      <c r="B699" s="12"/>
      <c r="C699" s="12"/>
      <c r="D699" s="12"/>
      <c r="E699" s="12"/>
      <c r="F699" s="13"/>
      <c r="G699" s="12"/>
    </row>
    <row r="700">
      <c r="A700" s="4"/>
      <c r="B700" s="12"/>
      <c r="C700" s="12"/>
      <c r="D700" s="12"/>
      <c r="E700" s="12"/>
      <c r="F700" s="13"/>
      <c r="G700" s="12"/>
    </row>
    <row r="701">
      <c r="A701" s="4"/>
      <c r="B701" s="12"/>
      <c r="C701" s="12"/>
      <c r="D701" s="12"/>
      <c r="E701" s="12"/>
      <c r="F701" s="13"/>
      <c r="G701" s="12"/>
    </row>
    <row r="702">
      <c r="A702" s="4"/>
      <c r="B702" s="12"/>
      <c r="C702" s="12"/>
      <c r="D702" s="12"/>
      <c r="E702" s="12"/>
      <c r="F702" s="13"/>
      <c r="G702" s="12"/>
    </row>
    <row r="703">
      <c r="A703" s="4"/>
      <c r="B703" s="12"/>
      <c r="C703" s="12"/>
      <c r="D703" s="12"/>
      <c r="E703" s="12"/>
      <c r="F703" s="13"/>
      <c r="G703" s="12"/>
    </row>
    <row r="704">
      <c r="A704" s="4"/>
      <c r="B704" s="12"/>
      <c r="C704" s="12"/>
      <c r="D704" s="12"/>
      <c r="E704" s="12"/>
      <c r="F704" s="13"/>
      <c r="G704" s="12"/>
    </row>
    <row r="705">
      <c r="A705" s="4"/>
      <c r="B705" s="12"/>
      <c r="C705" s="12"/>
      <c r="D705" s="12"/>
      <c r="E705" s="12"/>
      <c r="F705" s="13"/>
      <c r="G705" s="12"/>
    </row>
    <row r="706">
      <c r="A706" s="4"/>
      <c r="B706" s="12"/>
      <c r="C706" s="12"/>
      <c r="D706" s="12"/>
      <c r="E706" s="12"/>
      <c r="F706" s="13"/>
      <c r="G706" s="12"/>
    </row>
    <row r="707">
      <c r="A707" s="4"/>
      <c r="B707" s="12"/>
      <c r="C707" s="12"/>
      <c r="D707" s="12"/>
      <c r="E707" s="12"/>
      <c r="F707" s="13"/>
      <c r="G707" s="12"/>
    </row>
    <row r="708">
      <c r="A708" s="4"/>
      <c r="B708" s="12"/>
      <c r="C708" s="12"/>
      <c r="D708" s="12"/>
      <c r="E708" s="12"/>
      <c r="F708" s="13"/>
      <c r="G708" s="12"/>
    </row>
    <row r="709">
      <c r="A709" s="4"/>
      <c r="B709" s="12"/>
      <c r="C709" s="12"/>
      <c r="D709" s="12"/>
      <c r="E709" s="12"/>
      <c r="F709" s="13"/>
      <c r="G709" s="12"/>
    </row>
    <row r="710">
      <c r="A710" s="4"/>
      <c r="B710" s="12"/>
      <c r="C710" s="12"/>
      <c r="D710" s="12"/>
      <c r="E710" s="12"/>
      <c r="F710" s="13"/>
      <c r="G710" s="12"/>
    </row>
    <row r="711">
      <c r="A711" s="4"/>
      <c r="B711" s="12"/>
      <c r="C711" s="12"/>
      <c r="D711" s="12"/>
      <c r="E711" s="12"/>
      <c r="F711" s="13"/>
      <c r="G711" s="12"/>
    </row>
    <row r="712">
      <c r="A712" s="4"/>
      <c r="B712" s="12"/>
      <c r="C712" s="12"/>
      <c r="D712" s="12"/>
      <c r="E712" s="12"/>
      <c r="F712" s="13"/>
      <c r="G712" s="12"/>
    </row>
    <row r="713">
      <c r="A713" s="4"/>
      <c r="B713" s="12"/>
      <c r="C713" s="12"/>
      <c r="D713" s="12"/>
      <c r="E713" s="12"/>
      <c r="F713" s="13"/>
      <c r="G713" s="12"/>
    </row>
    <row r="714">
      <c r="A714" s="4"/>
      <c r="B714" s="12"/>
      <c r="C714" s="12"/>
      <c r="D714" s="12"/>
      <c r="E714" s="12"/>
      <c r="F714" s="13"/>
      <c r="G714" s="12"/>
    </row>
    <row r="715">
      <c r="A715" s="4"/>
      <c r="B715" s="12"/>
      <c r="C715" s="12"/>
      <c r="D715" s="12"/>
      <c r="E715" s="12"/>
      <c r="F715" s="13"/>
      <c r="G715" s="12"/>
    </row>
    <row r="716">
      <c r="A716" s="4"/>
      <c r="B716" s="12"/>
      <c r="C716" s="12"/>
      <c r="D716" s="12"/>
      <c r="E716" s="12"/>
      <c r="F716" s="13"/>
      <c r="G716" s="12"/>
    </row>
    <row r="717">
      <c r="A717" s="4"/>
      <c r="B717" s="12"/>
      <c r="C717" s="12"/>
      <c r="D717" s="12"/>
      <c r="E717" s="12"/>
      <c r="F717" s="13"/>
      <c r="G717" s="12"/>
    </row>
    <row r="718">
      <c r="A718" s="4"/>
      <c r="B718" s="12"/>
      <c r="C718" s="12"/>
      <c r="D718" s="12"/>
      <c r="E718" s="12"/>
      <c r="F718" s="13"/>
      <c r="G718" s="12"/>
    </row>
    <row r="719">
      <c r="A719" s="4"/>
      <c r="B719" s="12"/>
      <c r="C719" s="12"/>
      <c r="D719" s="12"/>
      <c r="E719" s="12"/>
      <c r="F719" s="13"/>
      <c r="G719" s="12"/>
    </row>
    <row r="720">
      <c r="A720" s="4"/>
      <c r="B720" s="12"/>
      <c r="C720" s="12"/>
      <c r="D720" s="12"/>
      <c r="E720" s="12"/>
      <c r="F720" s="13"/>
      <c r="G720" s="12"/>
    </row>
    <row r="721">
      <c r="A721" s="4"/>
      <c r="B721" s="12"/>
      <c r="C721" s="12"/>
      <c r="D721" s="12"/>
      <c r="E721" s="12"/>
      <c r="F721" s="13"/>
      <c r="G721" s="12"/>
    </row>
    <row r="722">
      <c r="A722" s="4"/>
      <c r="B722" s="12"/>
      <c r="C722" s="12"/>
      <c r="D722" s="12"/>
      <c r="E722" s="12"/>
      <c r="F722" s="13"/>
      <c r="G722" s="12"/>
    </row>
    <row r="723">
      <c r="A723" s="4"/>
      <c r="B723" s="12"/>
      <c r="C723" s="12"/>
      <c r="D723" s="12"/>
      <c r="E723" s="12"/>
      <c r="F723" s="13"/>
      <c r="G723" s="12"/>
    </row>
    <row r="724">
      <c r="A724" s="4"/>
      <c r="B724" s="12"/>
      <c r="C724" s="12"/>
      <c r="D724" s="12"/>
      <c r="E724" s="12"/>
      <c r="F724" s="13"/>
      <c r="G724" s="12"/>
    </row>
    <row r="725">
      <c r="A725" s="4"/>
      <c r="B725" s="12"/>
      <c r="C725" s="12"/>
      <c r="D725" s="12"/>
      <c r="E725" s="12"/>
      <c r="F725" s="13"/>
      <c r="G725" s="12"/>
    </row>
    <row r="726">
      <c r="A726" s="4"/>
      <c r="B726" s="12"/>
      <c r="C726" s="12"/>
      <c r="D726" s="12"/>
      <c r="E726" s="12"/>
      <c r="F726" s="13"/>
      <c r="G726" s="12"/>
    </row>
    <row r="727">
      <c r="A727" s="4"/>
      <c r="B727" s="12"/>
      <c r="C727" s="12"/>
      <c r="D727" s="12"/>
      <c r="E727" s="12"/>
      <c r="F727" s="13"/>
      <c r="G727" s="12"/>
    </row>
    <row r="728">
      <c r="A728" s="4"/>
      <c r="B728" s="12"/>
      <c r="C728" s="12"/>
      <c r="D728" s="12"/>
      <c r="E728" s="12"/>
      <c r="F728" s="13"/>
      <c r="G728" s="12"/>
    </row>
    <row r="729">
      <c r="A729" s="4"/>
      <c r="B729" s="12"/>
      <c r="C729" s="12"/>
      <c r="D729" s="12"/>
      <c r="E729" s="12"/>
      <c r="F729" s="13"/>
      <c r="G729" s="12"/>
    </row>
    <row r="730">
      <c r="A730" s="4"/>
      <c r="B730" s="12"/>
      <c r="C730" s="12"/>
      <c r="D730" s="12"/>
      <c r="E730" s="12"/>
      <c r="F730" s="13"/>
      <c r="G730" s="12"/>
    </row>
    <row r="731">
      <c r="A731" s="4"/>
      <c r="B731" s="12"/>
      <c r="C731" s="12"/>
      <c r="D731" s="12"/>
      <c r="E731" s="12"/>
      <c r="F731" s="13"/>
      <c r="G731" s="12"/>
    </row>
    <row r="732">
      <c r="A732" s="4"/>
      <c r="B732" s="12"/>
      <c r="C732" s="12"/>
      <c r="D732" s="12"/>
      <c r="E732" s="12"/>
      <c r="F732" s="13"/>
      <c r="G732" s="12"/>
    </row>
    <row r="733">
      <c r="A733" s="4"/>
      <c r="B733" s="12"/>
      <c r="C733" s="12"/>
      <c r="D733" s="12"/>
      <c r="E733" s="12"/>
      <c r="F733" s="13"/>
      <c r="G733" s="12"/>
    </row>
    <row r="734">
      <c r="A734" s="4"/>
      <c r="B734" s="12"/>
      <c r="C734" s="12"/>
      <c r="D734" s="12"/>
      <c r="E734" s="12"/>
      <c r="F734" s="13"/>
      <c r="G734" s="12"/>
    </row>
    <row r="735">
      <c r="A735" s="4"/>
      <c r="B735" s="12"/>
      <c r="C735" s="12"/>
      <c r="D735" s="12"/>
      <c r="E735" s="12"/>
      <c r="F735" s="13"/>
      <c r="G735" s="12"/>
    </row>
    <row r="736">
      <c r="A736" s="4"/>
      <c r="B736" s="12"/>
      <c r="C736" s="12"/>
      <c r="D736" s="12"/>
      <c r="E736" s="12"/>
      <c r="F736" s="13"/>
      <c r="G736" s="12"/>
    </row>
    <row r="737">
      <c r="A737" s="4"/>
      <c r="B737" s="12"/>
      <c r="C737" s="12"/>
      <c r="D737" s="12"/>
      <c r="E737" s="12"/>
      <c r="F737" s="13"/>
      <c r="G737" s="12"/>
    </row>
    <row r="738">
      <c r="A738" s="4"/>
      <c r="B738" s="12"/>
      <c r="C738" s="12"/>
      <c r="D738" s="12"/>
      <c r="E738" s="12"/>
      <c r="F738" s="13"/>
      <c r="G738" s="12"/>
    </row>
    <row r="739">
      <c r="A739" s="4"/>
      <c r="B739" s="12"/>
      <c r="C739" s="12"/>
      <c r="D739" s="12"/>
      <c r="E739" s="12"/>
      <c r="F739" s="13"/>
      <c r="G739" s="12"/>
    </row>
    <row r="740">
      <c r="A740" s="4"/>
      <c r="B740" s="12"/>
      <c r="C740" s="12"/>
      <c r="D740" s="12"/>
      <c r="E740" s="12"/>
      <c r="F740" s="13"/>
      <c r="G740" s="12"/>
    </row>
    <row r="741">
      <c r="A741" s="4"/>
      <c r="B741" s="12"/>
      <c r="C741" s="12"/>
      <c r="D741" s="12"/>
      <c r="E741" s="12"/>
      <c r="F741" s="13"/>
      <c r="G741" s="12"/>
    </row>
    <row r="742">
      <c r="A742" s="4"/>
      <c r="B742" s="12"/>
      <c r="C742" s="12"/>
      <c r="D742" s="12"/>
      <c r="E742" s="12"/>
      <c r="F742" s="13"/>
      <c r="G742" s="12"/>
    </row>
    <row r="743">
      <c r="A743" s="4"/>
      <c r="B743" s="12"/>
      <c r="C743" s="12"/>
      <c r="D743" s="12"/>
      <c r="E743" s="12"/>
      <c r="F743" s="13"/>
      <c r="G743" s="12"/>
    </row>
    <row r="744">
      <c r="A744" s="4"/>
      <c r="B744" s="12"/>
      <c r="C744" s="12"/>
      <c r="D744" s="12"/>
      <c r="E744" s="12"/>
      <c r="F744" s="13"/>
      <c r="G744" s="12"/>
    </row>
    <row r="745">
      <c r="A745" s="4"/>
      <c r="B745" s="12"/>
      <c r="C745" s="12"/>
      <c r="D745" s="12"/>
      <c r="E745" s="12"/>
      <c r="F745" s="13"/>
      <c r="G745" s="12"/>
    </row>
    <row r="746">
      <c r="A746" s="4"/>
      <c r="B746" s="12"/>
      <c r="C746" s="12"/>
      <c r="D746" s="12"/>
      <c r="E746" s="12"/>
      <c r="F746" s="13"/>
      <c r="G746" s="12"/>
    </row>
    <row r="747">
      <c r="A747" s="4"/>
      <c r="B747" s="12"/>
      <c r="C747" s="12"/>
      <c r="D747" s="12"/>
      <c r="E747" s="12"/>
      <c r="F747" s="13"/>
      <c r="G747" s="12"/>
    </row>
    <row r="748">
      <c r="A748" s="4"/>
      <c r="B748" s="12"/>
      <c r="C748" s="12"/>
      <c r="D748" s="12"/>
      <c r="E748" s="12"/>
      <c r="F748" s="13"/>
      <c r="G748" s="12"/>
    </row>
    <row r="749">
      <c r="A749" s="4"/>
      <c r="B749" s="12"/>
      <c r="C749" s="12"/>
      <c r="D749" s="12"/>
      <c r="E749" s="12"/>
      <c r="F749" s="13"/>
      <c r="G749" s="12"/>
    </row>
    <row r="750">
      <c r="A750" s="4"/>
      <c r="B750" s="12"/>
      <c r="C750" s="12"/>
      <c r="D750" s="12"/>
      <c r="E750" s="12"/>
      <c r="F750" s="13"/>
      <c r="G750" s="12"/>
    </row>
    <row r="751">
      <c r="A751" s="4"/>
      <c r="B751" s="12"/>
      <c r="C751" s="12"/>
      <c r="D751" s="12"/>
      <c r="E751" s="12"/>
      <c r="F751" s="13"/>
      <c r="G751" s="12"/>
    </row>
    <row r="752">
      <c r="A752" s="4"/>
      <c r="B752" s="12"/>
      <c r="C752" s="12"/>
      <c r="D752" s="12"/>
      <c r="E752" s="12"/>
      <c r="F752" s="13"/>
      <c r="G752" s="12"/>
    </row>
    <row r="753">
      <c r="A753" s="4"/>
      <c r="B753" s="12"/>
      <c r="C753" s="12"/>
      <c r="D753" s="12"/>
      <c r="E753" s="12"/>
      <c r="F753" s="13"/>
      <c r="G753" s="12"/>
    </row>
    <row r="754">
      <c r="A754" s="4"/>
      <c r="B754" s="12"/>
      <c r="C754" s="12"/>
      <c r="D754" s="12"/>
      <c r="E754" s="12"/>
      <c r="F754" s="13"/>
      <c r="G754" s="12"/>
    </row>
    <row r="755">
      <c r="A755" s="4"/>
      <c r="B755" s="12"/>
      <c r="C755" s="12"/>
      <c r="D755" s="12"/>
      <c r="E755" s="12"/>
      <c r="F755" s="13"/>
      <c r="G755" s="12"/>
    </row>
    <row r="756">
      <c r="A756" s="4"/>
      <c r="B756" s="12"/>
      <c r="C756" s="12"/>
      <c r="D756" s="12"/>
      <c r="E756" s="12"/>
      <c r="F756" s="13"/>
      <c r="G756" s="12"/>
    </row>
    <row r="757">
      <c r="A757" s="4"/>
      <c r="B757" s="12"/>
      <c r="C757" s="12"/>
      <c r="D757" s="12"/>
      <c r="E757" s="12"/>
      <c r="F757" s="13"/>
      <c r="G757" s="12"/>
    </row>
    <row r="758">
      <c r="A758" s="4"/>
      <c r="B758" s="12"/>
      <c r="C758" s="12"/>
      <c r="D758" s="12"/>
      <c r="E758" s="12"/>
      <c r="F758" s="13"/>
      <c r="G758" s="12"/>
    </row>
    <row r="759">
      <c r="A759" s="4"/>
      <c r="B759" s="12"/>
      <c r="C759" s="12"/>
      <c r="D759" s="12"/>
      <c r="E759" s="12"/>
      <c r="F759" s="13"/>
      <c r="G759" s="12"/>
    </row>
    <row r="760">
      <c r="A760" s="4"/>
      <c r="B760" s="12"/>
      <c r="C760" s="12"/>
      <c r="D760" s="12"/>
      <c r="E760" s="12"/>
      <c r="F760" s="13"/>
      <c r="G760" s="12"/>
    </row>
    <row r="761">
      <c r="A761" s="4"/>
      <c r="B761" s="12"/>
      <c r="C761" s="12"/>
      <c r="D761" s="12"/>
      <c r="E761" s="12"/>
      <c r="F761" s="13"/>
      <c r="G761" s="12"/>
    </row>
    <row r="762">
      <c r="A762" s="4"/>
      <c r="B762" s="12"/>
      <c r="C762" s="12"/>
      <c r="D762" s="12"/>
      <c r="E762" s="12"/>
      <c r="F762" s="13"/>
      <c r="G762" s="12"/>
    </row>
    <row r="763">
      <c r="A763" s="4"/>
      <c r="B763" s="12"/>
      <c r="C763" s="12"/>
      <c r="D763" s="12"/>
      <c r="E763" s="12"/>
      <c r="F763" s="13"/>
      <c r="G763" s="12"/>
    </row>
    <row r="764">
      <c r="A764" s="4"/>
      <c r="B764" s="12"/>
      <c r="C764" s="12"/>
      <c r="D764" s="12"/>
      <c r="E764" s="12"/>
      <c r="F764" s="13"/>
      <c r="G764" s="12"/>
    </row>
    <row r="765">
      <c r="A765" s="4"/>
      <c r="B765" s="12"/>
      <c r="C765" s="12"/>
      <c r="D765" s="12"/>
      <c r="E765" s="12"/>
      <c r="F765" s="13"/>
      <c r="G765" s="12"/>
    </row>
    <row r="766">
      <c r="A766" s="4"/>
      <c r="B766" s="12"/>
      <c r="C766" s="12"/>
      <c r="D766" s="12"/>
      <c r="E766" s="12"/>
      <c r="F766" s="13"/>
      <c r="G766" s="12"/>
    </row>
    <row r="767">
      <c r="A767" s="4"/>
      <c r="B767" s="12"/>
      <c r="C767" s="12"/>
      <c r="D767" s="12"/>
      <c r="E767" s="12"/>
      <c r="F767" s="13"/>
      <c r="G767" s="12"/>
    </row>
    <row r="768">
      <c r="A768" s="4"/>
      <c r="B768" s="12"/>
      <c r="C768" s="12"/>
      <c r="D768" s="12"/>
      <c r="E768" s="12"/>
      <c r="F768" s="13"/>
      <c r="G768" s="12"/>
    </row>
    <row r="769">
      <c r="A769" s="4"/>
      <c r="B769" s="12"/>
      <c r="C769" s="12"/>
      <c r="D769" s="12"/>
      <c r="E769" s="12"/>
      <c r="F769" s="13"/>
      <c r="G769" s="12"/>
    </row>
    <row r="770">
      <c r="A770" s="4"/>
      <c r="B770" s="12"/>
      <c r="C770" s="12"/>
      <c r="D770" s="12"/>
      <c r="E770" s="12"/>
      <c r="F770" s="13"/>
      <c r="G770" s="12"/>
    </row>
    <row r="771">
      <c r="A771" s="4"/>
      <c r="B771" s="12"/>
      <c r="C771" s="12"/>
      <c r="D771" s="12"/>
      <c r="E771" s="12"/>
      <c r="F771" s="13"/>
      <c r="G771" s="12"/>
    </row>
    <row r="772">
      <c r="A772" s="4"/>
      <c r="B772" s="12"/>
      <c r="C772" s="12"/>
      <c r="D772" s="12"/>
      <c r="E772" s="12"/>
      <c r="F772" s="13"/>
      <c r="G772" s="12"/>
    </row>
    <row r="773">
      <c r="A773" s="4"/>
      <c r="B773" s="12"/>
      <c r="C773" s="12"/>
      <c r="D773" s="12"/>
      <c r="E773" s="12"/>
      <c r="F773" s="13"/>
      <c r="G773" s="12"/>
    </row>
    <row r="774">
      <c r="A774" s="4"/>
      <c r="B774" s="12"/>
      <c r="C774" s="12"/>
      <c r="D774" s="12"/>
      <c r="E774" s="12"/>
      <c r="F774" s="13"/>
      <c r="G774" s="12"/>
    </row>
    <row r="775">
      <c r="A775" s="4"/>
      <c r="B775" s="12"/>
      <c r="C775" s="12"/>
      <c r="D775" s="12"/>
      <c r="E775" s="12"/>
      <c r="F775" s="13"/>
      <c r="G775" s="12"/>
    </row>
    <row r="776">
      <c r="A776" s="4"/>
      <c r="B776" s="12"/>
      <c r="C776" s="12"/>
      <c r="D776" s="12"/>
      <c r="E776" s="12"/>
      <c r="F776" s="13"/>
      <c r="G776" s="12"/>
    </row>
    <row r="777">
      <c r="A777" s="4"/>
      <c r="B777" s="12"/>
      <c r="C777" s="12"/>
      <c r="D777" s="12"/>
      <c r="E777" s="12"/>
      <c r="F777" s="13"/>
      <c r="G777" s="12"/>
    </row>
    <row r="778">
      <c r="A778" s="4"/>
      <c r="B778" s="12"/>
      <c r="C778" s="12"/>
      <c r="D778" s="12"/>
      <c r="E778" s="12"/>
      <c r="F778" s="13"/>
      <c r="G778" s="12"/>
    </row>
    <row r="779">
      <c r="A779" s="4"/>
      <c r="B779" s="12"/>
      <c r="C779" s="12"/>
      <c r="D779" s="12"/>
      <c r="E779" s="12"/>
      <c r="F779" s="13"/>
      <c r="G779" s="12"/>
    </row>
    <row r="780">
      <c r="A780" s="4"/>
      <c r="B780" s="12"/>
      <c r="C780" s="12"/>
      <c r="D780" s="12"/>
      <c r="E780" s="12"/>
      <c r="F780" s="13"/>
      <c r="G780" s="12"/>
    </row>
    <row r="781">
      <c r="A781" s="4"/>
      <c r="B781" s="12"/>
      <c r="C781" s="12"/>
      <c r="D781" s="12"/>
      <c r="E781" s="12"/>
      <c r="F781" s="13"/>
      <c r="G781" s="12"/>
    </row>
    <row r="782">
      <c r="A782" s="4"/>
      <c r="B782" s="12"/>
      <c r="C782" s="12"/>
      <c r="D782" s="12"/>
      <c r="E782" s="12"/>
      <c r="F782" s="13"/>
      <c r="G782" s="12"/>
    </row>
    <row r="783">
      <c r="A783" s="4"/>
      <c r="B783" s="12"/>
      <c r="C783" s="12"/>
      <c r="D783" s="12"/>
      <c r="E783" s="12"/>
      <c r="F783" s="13"/>
      <c r="G783" s="12"/>
    </row>
    <row r="784">
      <c r="A784" s="4"/>
      <c r="B784" s="12"/>
      <c r="C784" s="12"/>
      <c r="D784" s="12"/>
      <c r="E784" s="12"/>
      <c r="F784" s="13"/>
      <c r="G784" s="12"/>
    </row>
    <row r="785">
      <c r="A785" s="4"/>
      <c r="B785" s="12"/>
      <c r="C785" s="12"/>
      <c r="D785" s="12"/>
      <c r="E785" s="12"/>
      <c r="F785" s="13"/>
      <c r="G785" s="12"/>
    </row>
    <row r="786">
      <c r="A786" s="4"/>
      <c r="B786" s="12"/>
      <c r="C786" s="12"/>
      <c r="D786" s="12"/>
      <c r="E786" s="12"/>
      <c r="F786" s="13"/>
      <c r="G786" s="12"/>
    </row>
    <row r="787">
      <c r="A787" s="4"/>
      <c r="B787" s="12"/>
      <c r="C787" s="12"/>
      <c r="D787" s="12"/>
      <c r="E787" s="12"/>
      <c r="F787" s="13"/>
      <c r="G787" s="12"/>
    </row>
    <row r="788">
      <c r="A788" s="4"/>
      <c r="B788" s="12"/>
      <c r="C788" s="12"/>
      <c r="D788" s="12"/>
      <c r="E788" s="12"/>
      <c r="F788" s="13"/>
      <c r="G788" s="12"/>
    </row>
    <row r="789">
      <c r="A789" s="4"/>
      <c r="B789" s="12"/>
      <c r="C789" s="12"/>
      <c r="D789" s="12"/>
      <c r="E789" s="12"/>
      <c r="F789" s="13"/>
      <c r="G789" s="12"/>
    </row>
    <row r="790">
      <c r="A790" s="4"/>
      <c r="B790" s="12"/>
      <c r="C790" s="12"/>
      <c r="D790" s="12"/>
      <c r="E790" s="12"/>
      <c r="F790" s="13"/>
      <c r="G790" s="12"/>
    </row>
    <row r="791">
      <c r="A791" s="4"/>
      <c r="B791" s="12"/>
      <c r="C791" s="12"/>
      <c r="D791" s="12"/>
      <c r="E791" s="12"/>
      <c r="F791" s="13"/>
      <c r="G791" s="12"/>
    </row>
    <row r="792">
      <c r="A792" s="4"/>
      <c r="B792" s="12"/>
      <c r="C792" s="12"/>
      <c r="D792" s="12"/>
      <c r="E792" s="12"/>
      <c r="F792" s="13"/>
      <c r="G792" s="12"/>
    </row>
    <row r="793">
      <c r="A793" s="4"/>
      <c r="B793" s="12"/>
      <c r="C793" s="12"/>
      <c r="D793" s="12"/>
      <c r="E793" s="12"/>
      <c r="F793" s="13"/>
      <c r="G793" s="12"/>
    </row>
    <row r="794">
      <c r="A794" s="4"/>
      <c r="B794" s="12"/>
      <c r="C794" s="12"/>
      <c r="D794" s="12"/>
      <c r="E794" s="12"/>
      <c r="F794" s="13"/>
      <c r="G794" s="12"/>
    </row>
    <row r="795">
      <c r="A795" s="4"/>
      <c r="B795" s="12"/>
      <c r="C795" s="12"/>
      <c r="D795" s="12"/>
      <c r="E795" s="12"/>
      <c r="F795" s="13"/>
      <c r="G795" s="12"/>
    </row>
    <row r="796">
      <c r="A796" s="4"/>
      <c r="B796" s="12"/>
      <c r="C796" s="12"/>
      <c r="D796" s="12"/>
      <c r="E796" s="12"/>
      <c r="F796" s="13"/>
      <c r="G796" s="12"/>
    </row>
    <row r="797">
      <c r="A797" s="4"/>
      <c r="B797" s="12"/>
      <c r="C797" s="12"/>
      <c r="D797" s="12"/>
      <c r="E797" s="12"/>
      <c r="F797" s="13"/>
      <c r="G797" s="12"/>
    </row>
    <row r="798">
      <c r="A798" s="4"/>
      <c r="B798" s="12"/>
      <c r="C798" s="12"/>
      <c r="D798" s="12"/>
      <c r="E798" s="12"/>
      <c r="F798" s="13"/>
      <c r="G798" s="12"/>
    </row>
    <row r="799">
      <c r="A799" s="4"/>
      <c r="B799" s="12"/>
      <c r="C799" s="12"/>
      <c r="D799" s="12"/>
      <c r="E799" s="12"/>
      <c r="F799" s="13"/>
      <c r="G799" s="12"/>
    </row>
    <row r="800">
      <c r="A800" s="4"/>
      <c r="B800" s="12"/>
      <c r="C800" s="12"/>
      <c r="D800" s="12"/>
      <c r="E800" s="12"/>
      <c r="F800" s="13"/>
      <c r="G800" s="12"/>
    </row>
    <row r="801">
      <c r="A801" s="4"/>
      <c r="B801" s="12"/>
      <c r="C801" s="12"/>
      <c r="D801" s="12"/>
      <c r="E801" s="12"/>
      <c r="F801" s="13"/>
      <c r="G801" s="12"/>
    </row>
    <row r="802">
      <c r="A802" s="4"/>
      <c r="B802" s="12"/>
      <c r="C802" s="12"/>
      <c r="D802" s="12"/>
      <c r="E802" s="12"/>
      <c r="F802" s="13"/>
      <c r="G802" s="12"/>
    </row>
    <row r="803">
      <c r="A803" s="4"/>
      <c r="B803" s="12"/>
      <c r="C803" s="12"/>
      <c r="D803" s="12"/>
      <c r="E803" s="12"/>
      <c r="F803" s="13"/>
      <c r="G803" s="12"/>
    </row>
    <row r="804">
      <c r="A804" s="4"/>
      <c r="B804" s="12"/>
      <c r="C804" s="12"/>
      <c r="D804" s="12"/>
      <c r="E804" s="12"/>
      <c r="F804" s="13"/>
      <c r="G804" s="12"/>
    </row>
    <row r="805">
      <c r="A805" s="4"/>
      <c r="B805" s="12"/>
      <c r="C805" s="12"/>
      <c r="D805" s="12"/>
      <c r="E805" s="12"/>
      <c r="F805" s="13"/>
      <c r="G805" s="12"/>
    </row>
    <row r="806">
      <c r="A806" s="4"/>
      <c r="B806" s="12"/>
      <c r="C806" s="12"/>
      <c r="D806" s="12"/>
      <c r="E806" s="12"/>
      <c r="F806" s="13"/>
      <c r="G806" s="12"/>
    </row>
    <row r="807">
      <c r="A807" s="4"/>
      <c r="B807" s="12"/>
      <c r="C807" s="12"/>
      <c r="D807" s="12"/>
      <c r="E807" s="12"/>
      <c r="F807" s="13"/>
      <c r="G807" s="12"/>
    </row>
    <row r="808">
      <c r="A808" s="4"/>
      <c r="B808" s="12"/>
      <c r="C808" s="12"/>
      <c r="D808" s="12"/>
      <c r="E808" s="12"/>
      <c r="F808" s="13"/>
      <c r="G808" s="12"/>
    </row>
    <row r="809">
      <c r="A809" s="4"/>
      <c r="B809" s="12"/>
      <c r="C809" s="12"/>
      <c r="D809" s="12"/>
      <c r="E809" s="12"/>
      <c r="F809" s="13"/>
      <c r="G809" s="12"/>
    </row>
    <row r="810">
      <c r="A810" s="4"/>
      <c r="B810" s="12"/>
      <c r="C810" s="12"/>
      <c r="D810" s="12"/>
      <c r="E810" s="12"/>
      <c r="F810" s="13"/>
      <c r="G810" s="12"/>
    </row>
    <row r="811">
      <c r="A811" s="4"/>
      <c r="B811" s="12"/>
      <c r="C811" s="12"/>
      <c r="D811" s="12"/>
      <c r="E811" s="12"/>
      <c r="F811" s="13"/>
      <c r="G811" s="12"/>
    </row>
    <row r="812">
      <c r="A812" s="4"/>
      <c r="B812" s="12"/>
      <c r="C812" s="12"/>
      <c r="D812" s="12"/>
      <c r="E812" s="12"/>
      <c r="F812" s="13"/>
      <c r="G812" s="12"/>
    </row>
    <row r="813">
      <c r="A813" s="4"/>
      <c r="B813" s="12"/>
      <c r="C813" s="12"/>
      <c r="D813" s="12"/>
      <c r="E813" s="12"/>
      <c r="F813" s="13"/>
      <c r="G813" s="12"/>
    </row>
    <row r="814">
      <c r="A814" s="4"/>
      <c r="B814" s="12"/>
      <c r="C814" s="12"/>
      <c r="D814" s="12"/>
      <c r="E814" s="12"/>
      <c r="F814" s="13"/>
      <c r="G814" s="12"/>
    </row>
    <row r="815">
      <c r="A815" s="4"/>
      <c r="B815" s="12"/>
      <c r="C815" s="12"/>
      <c r="D815" s="12"/>
      <c r="E815" s="12"/>
      <c r="F815" s="13"/>
      <c r="G815" s="12"/>
    </row>
    <row r="816">
      <c r="A816" s="4"/>
      <c r="B816" s="12"/>
      <c r="C816" s="12"/>
      <c r="D816" s="12"/>
      <c r="E816" s="12"/>
      <c r="F816" s="13"/>
      <c r="G816" s="12"/>
    </row>
    <row r="817">
      <c r="A817" s="4"/>
      <c r="B817" s="12"/>
      <c r="C817" s="12"/>
      <c r="D817" s="12"/>
      <c r="E817" s="12"/>
      <c r="F817" s="13"/>
      <c r="G817" s="12"/>
    </row>
    <row r="818">
      <c r="A818" s="4"/>
      <c r="B818" s="12"/>
      <c r="C818" s="12"/>
      <c r="D818" s="12"/>
      <c r="E818" s="12"/>
      <c r="F818" s="13"/>
      <c r="G818" s="12"/>
    </row>
    <row r="819">
      <c r="A819" s="4"/>
      <c r="B819" s="12"/>
      <c r="C819" s="12"/>
      <c r="D819" s="12"/>
      <c r="E819" s="12"/>
      <c r="F819" s="13"/>
      <c r="G819" s="12"/>
    </row>
    <row r="820">
      <c r="A820" s="4"/>
      <c r="B820" s="12"/>
      <c r="C820" s="12"/>
      <c r="D820" s="12"/>
      <c r="E820" s="12"/>
      <c r="F820" s="13"/>
      <c r="G820" s="12"/>
    </row>
    <row r="821">
      <c r="A821" s="4"/>
      <c r="B821" s="12"/>
      <c r="C821" s="12"/>
      <c r="D821" s="12"/>
      <c r="E821" s="12"/>
      <c r="F821" s="13"/>
      <c r="G821" s="12"/>
    </row>
    <row r="822">
      <c r="A822" s="4"/>
      <c r="B822" s="12"/>
      <c r="C822" s="12"/>
      <c r="D822" s="12"/>
      <c r="E822" s="12"/>
      <c r="F822" s="13"/>
      <c r="G822" s="12"/>
    </row>
    <row r="823">
      <c r="A823" s="4"/>
      <c r="B823" s="12"/>
      <c r="C823" s="12"/>
      <c r="D823" s="12"/>
      <c r="E823" s="12"/>
      <c r="F823" s="13"/>
      <c r="G823" s="12"/>
    </row>
    <row r="824">
      <c r="A824" s="4"/>
      <c r="B824" s="12"/>
      <c r="C824" s="12"/>
      <c r="D824" s="12"/>
      <c r="E824" s="12"/>
      <c r="F824" s="13"/>
      <c r="G824" s="12"/>
    </row>
    <row r="825">
      <c r="A825" s="4"/>
      <c r="B825" s="12"/>
      <c r="C825" s="12"/>
      <c r="D825" s="12"/>
      <c r="E825" s="12"/>
      <c r="F825" s="13"/>
      <c r="G825" s="12"/>
    </row>
    <row r="826">
      <c r="A826" s="4"/>
      <c r="B826" s="12"/>
      <c r="C826" s="12"/>
      <c r="D826" s="12"/>
      <c r="E826" s="12"/>
      <c r="F826" s="13"/>
      <c r="G826" s="12"/>
    </row>
    <row r="827">
      <c r="A827" s="4"/>
      <c r="B827" s="12"/>
      <c r="C827" s="12"/>
      <c r="D827" s="12"/>
      <c r="E827" s="12"/>
      <c r="F827" s="13"/>
      <c r="G827" s="12"/>
    </row>
    <row r="828">
      <c r="A828" s="4"/>
      <c r="B828" s="12"/>
      <c r="C828" s="12"/>
      <c r="D828" s="12"/>
      <c r="E828" s="12"/>
      <c r="F828" s="13"/>
      <c r="G828" s="12"/>
    </row>
    <row r="829">
      <c r="A829" s="4"/>
      <c r="B829" s="12"/>
      <c r="C829" s="12"/>
      <c r="D829" s="12"/>
      <c r="E829" s="12"/>
      <c r="F829" s="13"/>
      <c r="G829" s="12"/>
    </row>
    <row r="830">
      <c r="A830" s="4"/>
      <c r="B830" s="12"/>
      <c r="C830" s="12"/>
      <c r="D830" s="12"/>
      <c r="E830" s="12"/>
      <c r="F830" s="13"/>
      <c r="G830" s="12"/>
    </row>
    <row r="831">
      <c r="A831" s="4"/>
      <c r="B831" s="12"/>
      <c r="C831" s="12"/>
      <c r="D831" s="12"/>
      <c r="E831" s="12"/>
      <c r="F831" s="13"/>
      <c r="G831" s="12"/>
    </row>
    <row r="832">
      <c r="A832" s="4"/>
      <c r="B832" s="12"/>
      <c r="C832" s="12"/>
      <c r="D832" s="12"/>
      <c r="E832" s="12"/>
      <c r="F832" s="13"/>
      <c r="G832" s="12"/>
    </row>
    <row r="833">
      <c r="A833" s="4"/>
      <c r="B833" s="12"/>
      <c r="C833" s="12"/>
      <c r="D833" s="12"/>
      <c r="E833" s="12"/>
      <c r="F833" s="13"/>
      <c r="G833" s="12"/>
    </row>
    <row r="834">
      <c r="A834" s="4"/>
      <c r="B834" s="12"/>
      <c r="C834" s="12"/>
      <c r="D834" s="12"/>
      <c r="E834" s="12"/>
      <c r="F834" s="13"/>
      <c r="G834" s="12"/>
    </row>
    <row r="835">
      <c r="A835" s="4"/>
      <c r="B835" s="12"/>
      <c r="C835" s="12"/>
      <c r="D835" s="12"/>
      <c r="E835" s="12"/>
      <c r="F835" s="13"/>
      <c r="G835" s="12"/>
    </row>
    <row r="836">
      <c r="A836" s="4"/>
      <c r="B836" s="12"/>
      <c r="C836" s="12"/>
      <c r="D836" s="12"/>
      <c r="E836" s="12"/>
      <c r="F836" s="13"/>
      <c r="G836" s="12"/>
    </row>
    <row r="837">
      <c r="A837" s="4"/>
      <c r="B837" s="12"/>
      <c r="C837" s="12"/>
      <c r="D837" s="12"/>
      <c r="E837" s="12"/>
      <c r="F837" s="13"/>
      <c r="G837" s="12"/>
    </row>
    <row r="838">
      <c r="A838" s="4"/>
      <c r="B838" s="12"/>
      <c r="C838" s="12"/>
      <c r="D838" s="12"/>
      <c r="E838" s="12"/>
      <c r="F838" s="13"/>
      <c r="G838" s="12"/>
    </row>
    <row r="839">
      <c r="A839" s="4"/>
      <c r="B839" s="12"/>
      <c r="C839" s="12"/>
      <c r="D839" s="12"/>
      <c r="E839" s="12"/>
      <c r="F839" s="13"/>
      <c r="G839" s="12"/>
    </row>
    <row r="840">
      <c r="A840" s="4"/>
      <c r="B840" s="12"/>
      <c r="C840" s="12"/>
      <c r="D840" s="12"/>
      <c r="E840" s="12"/>
      <c r="F840" s="13"/>
      <c r="G840" s="12"/>
    </row>
    <row r="841">
      <c r="A841" s="4"/>
      <c r="B841" s="12"/>
      <c r="C841" s="12"/>
      <c r="D841" s="12"/>
      <c r="E841" s="12"/>
      <c r="F841" s="13"/>
      <c r="G841" s="12"/>
    </row>
    <row r="842">
      <c r="A842" s="4"/>
      <c r="B842" s="12"/>
      <c r="C842" s="12"/>
      <c r="D842" s="12"/>
      <c r="E842" s="12"/>
      <c r="F842" s="13"/>
      <c r="G842" s="12"/>
    </row>
    <row r="843">
      <c r="A843" s="4"/>
      <c r="B843" s="12"/>
      <c r="C843" s="12"/>
      <c r="D843" s="12"/>
      <c r="E843" s="12"/>
      <c r="F843" s="13"/>
      <c r="G843" s="12"/>
    </row>
    <row r="844">
      <c r="A844" s="4"/>
      <c r="B844" s="12"/>
      <c r="C844" s="12"/>
      <c r="D844" s="12"/>
      <c r="E844" s="12"/>
      <c r="F844" s="13"/>
      <c r="G844" s="12"/>
    </row>
    <row r="845">
      <c r="A845" s="4"/>
      <c r="B845" s="12"/>
      <c r="C845" s="12"/>
      <c r="D845" s="12"/>
      <c r="E845" s="12"/>
      <c r="F845" s="13"/>
      <c r="G845" s="12"/>
    </row>
    <row r="846">
      <c r="A846" s="4"/>
      <c r="B846" s="12"/>
      <c r="C846" s="12"/>
      <c r="D846" s="12"/>
      <c r="E846" s="12"/>
      <c r="F846" s="13"/>
      <c r="G846" s="12"/>
    </row>
    <row r="847">
      <c r="A847" s="4"/>
      <c r="B847" s="12"/>
      <c r="C847" s="12"/>
      <c r="D847" s="12"/>
      <c r="E847" s="12"/>
      <c r="F847" s="13"/>
      <c r="G847" s="12"/>
    </row>
    <row r="848">
      <c r="A848" s="4"/>
      <c r="B848" s="12"/>
      <c r="C848" s="12"/>
      <c r="D848" s="12"/>
      <c r="E848" s="12"/>
      <c r="F848" s="13"/>
      <c r="G848" s="12"/>
    </row>
    <row r="849">
      <c r="A849" s="4"/>
      <c r="B849" s="12"/>
      <c r="C849" s="12"/>
      <c r="D849" s="12"/>
      <c r="E849" s="12"/>
      <c r="F849" s="13"/>
      <c r="G849" s="12"/>
    </row>
    <row r="850">
      <c r="A850" s="4"/>
      <c r="B850" s="12"/>
      <c r="C850" s="12"/>
      <c r="D850" s="12"/>
      <c r="E850" s="12"/>
      <c r="F850" s="13"/>
      <c r="G850" s="12"/>
    </row>
    <row r="851">
      <c r="A851" s="4"/>
      <c r="B851" s="12"/>
      <c r="C851" s="12"/>
      <c r="D851" s="12"/>
      <c r="E851" s="12"/>
      <c r="F851" s="13"/>
      <c r="G851" s="12"/>
    </row>
    <row r="852">
      <c r="A852" s="4"/>
      <c r="B852" s="12"/>
      <c r="C852" s="12"/>
      <c r="D852" s="12"/>
      <c r="E852" s="12"/>
      <c r="F852" s="13"/>
      <c r="G852" s="12"/>
    </row>
    <row r="853">
      <c r="A853" s="4"/>
      <c r="B853" s="12"/>
      <c r="C853" s="12"/>
      <c r="D853" s="12"/>
      <c r="E853" s="12"/>
      <c r="F853" s="13"/>
      <c r="G853" s="12"/>
    </row>
    <row r="854">
      <c r="A854" s="4"/>
      <c r="B854" s="12"/>
      <c r="C854" s="12"/>
      <c r="D854" s="12"/>
      <c r="E854" s="12"/>
      <c r="F854" s="13"/>
      <c r="G854" s="12"/>
    </row>
    <row r="855">
      <c r="A855" s="4"/>
      <c r="B855" s="12"/>
      <c r="C855" s="12"/>
      <c r="D855" s="12"/>
      <c r="E855" s="12"/>
      <c r="F855" s="13"/>
      <c r="G855" s="12"/>
    </row>
    <row r="856">
      <c r="A856" s="4"/>
      <c r="B856" s="12"/>
      <c r="C856" s="12"/>
      <c r="D856" s="12"/>
      <c r="E856" s="12"/>
      <c r="F856" s="13"/>
      <c r="G856" s="12"/>
    </row>
    <row r="857">
      <c r="A857" s="4"/>
      <c r="B857" s="12"/>
      <c r="C857" s="12"/>
      <c r="D857" s="12"/>
      <c r="E857" s="12"/>
      <c r="F857" s="13"/>
      <c r="G857" s="12"/>
    </row>
    <row r="858">
      <c r="A858" s="4"/>
      <c r="B858" s="12"/>
      <c r="C858" s="12"/>
      <c r="D858" s="12"/>
      <c r="E858" s="12"/>
      <c r="F858" s="13"/>
      <c r="G858" s="12"/>
    </row>
    <row r="859">
      <c r="A859" s="4"/>
      <c r="B859" s="12"/>
      <c r="C859" s="12"/>
      <c r="D859" s="12"/>
      <c r="E859" s="12"/>
      <c r="F859" s="13"/>
      <c r="G859" s="12"/>
    </row>
    <row r="860">
      <c r="A860" s="4"/>
      <c r="B860" s="12"/>
      <c r="C860" s="12"/>
      <c r="D860" s="12"/>
      <c r="E860" s="12"/>
      <c r="F860" s="13"/>
      <c r="G860" s="12"/>
    </row>
    <row r="861">
      <c r="A861" s="4"/>
      <c r="B861" s="12"/>
      <c r="C861" s="12"/>
      <c r="D861" s="12"/>
      <c r="E861" s="12"/>
      <c r="F861" s="13"/>
      <c r="G861" s="12"/>
    </row>
    <row r="862">
      <c r="A862" s="4"/>
      <c r="B862" s="12"/>
      <c r="C862" s="12"/>
      <c r="D862" s="12"/>
      <c r="E862" s="12"/>
      <c r="F862" s="13"/>
      <c r="G862" s="12"/>
    </row>
    <row r="863">
      <c r="A863" s="4"/>
      <c r="B863" s="12"/>
      <c r="C863" s="12"/>
      <c r="D863" s="12"/>
      <c r="E863" s="12"/>
      <c r="F863" s="13"/>
      <c r="G863" s="12"/>
    </row>
    <row r="864">
      <c r="A864" s="4"/>
      <c r="B864" s="12"/>
      <c r="C864" s="12"/>
      <c r="D864" s="12"/>
      <c r="E864" s="12"/>
      <c r="F864" s="13"/>
      <c r="G864" s="12"/>
    </row>
    <row r="865">
      <c r="A865" s="4"/>
      <c r="B865" s="12"/>
      <c r="C865" s="12"/>
      <c r="D865" s="12"/>
      <c r="E865" s="12"/>
      <c r="F865" s="13"/>
      <c r="G865" s="12"/>
    </row>
    <row r="866">
      <c r="A866" s="4"/>
      <c r="B866" s="12"/>
      <c r="C866" s="12"/>
      <c r="D866" s="12"/>
      <c r="E866" s="12"/>
      <c r="F866" s="13"/>
      <c r="G866" s="12"/>
    </row>
    <row r="867">
      <c r="A867" s="4"/>
      <c r="B867" s="12"/>
      <c r="C867" s="12"/>
      <c r="D867" s="12"/>
      <c r="E867" s="12"/>
      <c r="F867" s="13"/>
      <c r="G867" s="12"/>
    </row>
    <row r="868">
      <c r="A868" s="4"/>
      <c r="B868" s="12"/>
      <c r="C868" s="12"/>
      <c r="D868" s="12"/>
      <c r="E868" s="12"/>
      <c r="F868" s="13"/>
      <c r="G868" s="12"/>
    </row>
    <row r="869">
      <c r="A869" s="4"/>
      <c r="B869" s="12"/>
      <c r="C869" s="12"/>
      <c r="D869" s="12"/>
      <c r="E869" s="12"/>
      <c r="F869" s="13"/>
      <c r="G869" s="12"/>
    </row>
    <row r="870">
      <c r="A870" s="4"/>
      <c r="B870" s="12"/>
      <c r="C870" s="12"/>
      <c r="D870" s="12"/>
      <c r="E870" s="12"/>
      <c r="F870" s="13"/>
      <c r="G870" s="12"/>
    </row>
    <row r="871">
      <c r="A871" s="4"/>
      <c r="B871" s="12"/>
      <c r="C871" s="12"/>
      <c r="D871" s="12"/>
      <c r="E871" s="12"/>
      <c r="F871" s="13"/>
      <c r="G871" s="12"/>
    </row>
    <row r="872">
      <c r="A872" s="4"/>
      <c r="B872" s="12"/>
      <c r="C872" s="12"/>
      <c r="D872" s="12"/>
      <c r="E872" s="12"/>
      <c r="F872" s="13"/>
      <c r="G872" s="12"/>
    </row>
    <row r="873">
      <c r="A873" s="4"/>
      <c r="B873" s="12"/>
      <c r="C873" s="12"/>
      <c r="D873" s="12"/>
      <c r="E873" s="12"/>
      <c r="F873" s="13"/>
      <c r="G873" s="12"/>
    </row>
    <row r="874">
      <c r="A874" s="4"/>
      <c r="B874" s="12"/>
      <c r="C874" s="12"/>
      <c r="D874" s="12"/>
      <c r="E874" s="12"/>
      <c r="F874" s="13"/>
      <c r="G874" s="12"/>
    </row>
    <row r="875">
      <c r="A875" s="4"/>
      <c r="B875" s="12"/>
      <c r="C875" s="12"/>
      <c r="D875" s="12"/>
      <c r="E875" s="12"/>
      <c r="F875" s="13"/>
      <c r="G875" s="12"/>
    </row>
    <row r="876">
      <c r="A876" s="4"/>
      <c r="B876" s="12"/>
      <c r="C876" s="12"/>
      <c r="D876" s="12"/>
      <c r="E876" s="12"/>
      <c r="F876" s="13"/>
      <c r="G876" s="12"/>
    </row>
    <row r="877">
      <c r="A877" s="4"/>
      <c r="B877" s="12"/>
      <c r="C877" s="12"/>
      <c r="D877" s="12"/>
      <c r="E877" s="12"/>
      <c r="F877" s="13"/>
      <c r="G877" s="12"/>
    </row>
    <row r="878">
      <c r="A878" s="4"/>
      <c r="B878" s="12"/>
      <c r="C878" s="12"/>
      <c r="D878" s="12"/>
      <c r="E878" s="12"/>
      <c r="F878" s="13"/>
      <c r="G878" s="12"/>
    </row>
    <row r="879">
      <c r="A879" s="4"/>
      <c r="B879" s="12"/>
      <c r="C879" s="12"/>
      <c r="D879" s="12"/>
      <c r="E879" s="12"/>
      <c r="F879" s="13"/>
      <c r="G879" s="12"/>
    </row>
    <row r="880">
      <c r="A880" s="4"/>
      <c r="B880" s="12"/>
      <c r="C880" s="12"/>
      <c r="D880" s="12"/>
      <c r="E880" s="12"/>
      <c r="F880" s="13"/>
      <c r="G880" s="12"/>
    </row>
    <row r="881">
      <c r="A881" s="4"/>
      <c r="B881" s="12"/>
      <c r="C881" s="12"/>
      <c r="D881" s="12"/>
      <c r="E881" s="12"/>
      <c r="F881" s="13"/>
      <c r="G881" s="12"/>
    </row>
    <row r="882">
      <c r="A882" s="4"/>
      <c r="B882" s="12"/>
      <c r="C882" s="12"/>
      <c r="D882" s="12"/>
      <c r="E882" s="12"/>
      <c r="F882" s="13"/>
      <c r="G882" s="12"/>
    </row>
    <row r="883">
      <c r="A883" s="4"/>
      <c r="B883" s="12"/>
      <c r="C883" s="12"/>
      <c r="D883" s="12"/>
      <c r="E883" s="12"/>
      <c r="F883" s="13"/>
      <c r="G883" s="12"/>
    </row>
    <row r="884">
      <c r="A884" s="4"/>
      <c r="B884" s="12"/>
      <c r="C884" s="12"/>
      <c r="D884" s="12"/>
      <c r="E884" s="12"/>
      <c r="F884" s="13"/>
      <c r="G884" s="12"/>
    </row>
    <row r="885">
      <c r="A885" s="4"/>
      <c r="B885" s="12"/>
      <c r="C885" s="12"/>
      <c r="D885" s="12"/>
      <c r="E885" s="12"/>
      <c r="F885" s="13"/>
      <c r="G885" s="12"/>
    </row>
    <row r="886">
      <c r="A886" s="4"/>
      <c r="B886" s="12"/>
      <c r="C886" s="12"/>
      <c r="D886" s="12"/>
      <c r="E886" s="12"/>
      <c r="F886" s="13"/>
      <c r="G886" s="12"/>
    </row>
    <row r="887">
      <c r="A887" s="4"/>
      <c r="B887" s="12"/>
      <c r="C887" s="12"/>
      <c r="D887" s="12"/>
      <c r="E887" s="12"/>
      <c r="F887" s="13"/>
      <c r="G887" s="12"/>
    </row>
    <row r="888">
      <c r="A888" s="4"/>
      <c r="B888" s="12"/>
      <c r="C888" s="12"/>
      <c r="D888" s="12"/>
      <c r="E888" s="12"/>
      <c r="F888" s="13"/>
      <c r="G888" s="12"/>
    </row>
    <row r="889">
      <c r="A889" s="4"/>
      <c r="B889" s="12"/>
      <c r="C889" s="12"/>
      <c r="D889" s="12"/>
      <c r="E889" s="12"/>
      <c r="F889" s="13"/>
      <c r="G889" s="12"/>
    </row>
    <row r="890">
      <c r="A890" s="4"/>
      <c r="B890" s="12"/>
      <c r="C890" s="12"/>
      <c r="D890" s="12"/>
      <c r="E890" s="12"/>
      <c r="F890" s="13"/>
      <c r="G890" s="12"/>
    </row>
    <row r="891">
      <c r="A891" s="4"/>
      <c r="B891" s="12"/>
      <c r="C891" s="12"/>
      <c r="D891" s="12"/>
      <c r="E891" s="12"/>
      <c r="F891" s="13"/>
      <c r="G891" s="12"/>
    </row>
    <row r="892">
      <c r="A892" s="4"/>
      <c r="B892" s="12"/>
      <c r="C892" s="12"/>
      <c r="D892" s="12"/>
      <c r="E892" s="12"/>
      <c r="F892" s="13"/>
      <c r="G892" s="12"/>
    </row>
    <row r="893">
      <c r="A893" s="4"/>
      <c r="B893" s="12"/>
      <c r="C893" s="12"/>
      <c r="D893" s="12"/>
      <c r="E893" s="12"/>
      <c r="F893" s="13"/>
      <c r="G893" s="12"/>
    </row>
    <row r="894">
      <c r="A894" s="4"/>
      <c r="B894" s="12"/>
      <c r="C894" s="12"/>
      <c r="D894" s="12"/>
      <c r="E894" s="12"/>
      <c r="F894" s="13"/>
      <c r="G894" s="12"/>
    </row>
    <row r="895">
      <c r="A895" s="4"/>
      <c r="B895" s="12"/>
      <c r="C895" s="12"/>
      <c r="D895" s="12"/>
      <c r="E895" s="12"/>
      <c r="F895" s="13"/>
      <c r="G895" s="12"/>
    </row>
    <row r="896">
      <c r="A896" s="4"/>
      <c r="B896" s="12"/>
      <c r="C896" s="12"/>
      <c r="D896" s="12"/>
      <c r="E896" s="12"/>
      <c r="F896" s="13"/>
      <c r="G896" s="12"/>
    </row>
    <row r="897">
      <c r="A897" s="4"/>
      <c r="B897" s="12"/>
      <c r="C897" s="12"/>
      <c r="D897" s="12"/>
      <c r="E897" s="12"/>
      <c r="F897" s="13"/>
      <c r="G897" s="12"/>
    </row>
    <row r="898">
      <c r="A898" s="4"/>
      <c r="B898" s="12"/>
      <c r="C898" s="12"/>
      <c r="D898" s="12"/>
      <c r="E898" s="12"/>
      <c r="F898" s="13"/>
      <c r="G898" s="12"/>
    </row>
    <row r="899">
      <c r="A899" s="4"/>
      <c r="B899" s="12"/>
      <c r="C899" s="12"/>
      <c r="D899" s="12"/>
      <c r="E899" s="12"/>
      <c r="F899" s="13"/>
      <c r="G899" s="12"/>
    </row>
    <row r="900">
      <c r="A900" s="4"/>
      <c r="B900" s="12"/>
      <c r="C900" s="12"/>
      <c r="D900" s="12"/>
      <c r="E900" s="12"/>
      <c r="F900" s="13"/>
      <c r="G900" s="12"/>
    </row>
    <row r="901">
      <c r="A901" s="4"/>
      <c r="B901" s="12"/>
      <c r="C901" s="12"/>
      <c r="D901" s="12"/>
      <c r="E901" s="12"/>
      <c r="F901" s="13"/>
      <c r="G901" s="12"/>
    </row>
    <row r="902">
      <c r="A902" s="4"/>
      <c r="B902" s="12"/>
      <c r="C902" s="12"/>
      <c r="D902" s="12"/>
      <c r="E902" s="12"/>
      <c r="F902" s="13"/>
      <c r="G902" s="12"/>
    </row>
    <row r="903">
      <c r="A903" s="4"/>
      <c r="B903" s="12"/>
      <c r="C903" s="12"/>
      <c r="D903" s="12"/>
      <c r="E903" s="12"/>
      <c r="F903" s="13"/>
      <c r="G903" s="12"/>
    </row>
    <row r="904">
      <c r="A904" s="4"/>
      <c r="B904" s="12"/>
      <c r="C904" s="12"/>
      <c r="D904" s="12"/>
      <c r="E904" s="12"/>
      <c r="F904" s="13"/>
      <c r="G904" s="12"/>
    </row>
    <row r="905">
      <c r="A905" s="4"/>
      <c r="B905" s="12"/>
      <c r="C905" s="12"/>
      <c r="D905" s="12"/>
      <c r="E905" s="12"/>
      <c r="F905" s="13"/>
      <c r="G905" s="12"/>
    </row>
    <row r="906">
      <c r="A906" s="4"/>
      <c r="B906" s="12"/>
      <c r="C906" s="12"/>
      <c r="D906" s="12"/>
      <c r="E906" s="12"/>
      <c r="F906" s="13"/>
      <c r="G906" s="12"/>
    </row>
    <row r="907">
      <c r="A907" s="4"/>
      <c r="B907" s="12"/>
      <c r="C907" s="12"/>
      <c r="D907" s="12"/>
      <c r="E907" s="12"/>
      <c r="F907" s="13"/>
      <c r="G907" s="12"/>
    </row>
    <row r="908">
      <c r="A908" s="4"/>
      <c r="B908" s="12"/>
      <c r="C908" s="12"/>
      <c r="D908" s="12"/>
      <c r="E908" s="12"/>
      <c r="F908" s="13"/>
      <c r="G908" s="12"/>
    </row>
    <row r="909">
      <c r="A909" s="4"/>
      <c r="B909" s="12"/>
      <c r="C909" s="12"/>
      <c r="D909" s="12"/>
      <c r="E909" s="12"/>
      <c r="F909" s="13"/>
      <c r="G909" s="12"/>
    </row>
    <row r="910">
      <c r="A910" s="4"/>
      <c r="B910" s="12"/>
      <c r="C910" s="12"/>
      <c r="D910" s="12"/>
      <c r="E910" s="12"/>
      <c r="F910" s="13"/>
      <c r="G910" s="12"/>
    </row>
    <row r="911">
      <c r="A911" s="4"/>
      <c r="B911" s="12"/>
      <c r="C911" s="12"/>
      <c r="D911" s="12"/>
      <c r="E911" s="12"/>
      <c r="F911" s="13"/>
      <c r="G911" s="12"/>
    </row>
    <row r="912">
      <c r="A912" s="4"/>
      <c r="B912" s="12"/>
      <c r="C912" s="12"/>
      <c r="D912" s="12"/>
      <c r="E912" s="12"/>
      <c r="F912" s="13"/>
      <c r="G912" s="12"/>
    </row>
    <row r="913">
      <c r="A913" s="4"/>
      <c r="B913" s="12"/>
      <c r="C913" s="12"/>
      <c r="D913" s="12"/>
      <c r="E913" s="12"/>
      <c r="F913" s="13"/>
      <c r="G913" s="12"/>
    </row>
    <row r="914">
      <c r="A914" s="4"/>
      <c r="B914" s="12"/>
      <c r="C914" s="12"/>
      <c r="D914" s="12"/>
      <c r="E914" s="12"/>
      <c r="F914" s="13"/>
      <c r="G914" s="12"/>
    </row>
    <row r="915">
      <c r="A915" s="4"/>
      <c r="B915" s="12"/>
      <c r="C915" s="12"/>
      <c r="D915" s="12"/>
      <c r="E915" s="12"/>
      <c r="F915" s="13"/>
      <c r="G915" s="12"/>
    </row>
    <row r="916">
      <c r="A916" s="4"/>
      <c r="B916" s="12"/>
      <c r="C916" s="12"/>
      <c r="D916" s="12"/>
      <c r="E916" s="12"/>
      <c r="F916" s="13"/>
      <c r="G916" s="12"/>
    </row>
    <row r="917">
      <c r="A917" s="4"/>
      <c r="B917" s="12"/>
      <c r="C917" s="12"/>
      <c r="D917" s="12"/>
      <c r="E917" s="12"/>
      <c r="F917" s="13"/>
      <c r="G917" s="12"/>
    </row>
    <row r="918">
      <c r="A918" s="4"/>
      <c r="B918" s="12"/>
      <c r="C918" s="12"/>
      <c r="D918" s="12"/>
      <c r="E918" s="12"/>
      <c r="F918" s="13"/>
      <c r="G918" s="12"/>
    </row>
    <row r="919">
      <c r="A919" s="4"/>
      <c r="B919" s="12"/>
      <c r="C919" s="12"/>
      <c r="D919" s="12"/>
      <c r="E919" s="12"/>
      <c r="F919" s="13"/>
      <c r="G919" s="12"/>
    </row>
    <row r="920">
      <c r="A920" s="4"/>
      <c r="B920" s="12"/>
      <c r="C920" s="12"/>
      <c r="D920" s="12"/>
      <c r="E920" s="12"/>
      <c r="F920" s="13"/>
      <c r="G920" s="12"/>
    </row>
    <row r="921">
      <c r="A921" s="4"/>
      <c r="B921" s="12"/>
      <c r="C921" s="12"/>
      <c r="D921" s="12"/>
      <c r="E921" s="12"/>
      <c r="F921" s="13"/>
      <c r="G921" s="12"/>
    </row>
    <row r="922">
      <c r="A922" s="4"/>
      <c r="B922" s="12"/>
      <c r="C922" s="12"/>
      <c r="D922" s="12"/>
      <c r="E922" s="12"/>
      <c r="F922" s="13"/>
      <c r="G922" s="12"/>
    </row>
    <row r="923">
      <c r="A923" s="4"/>
      <c r="B923" s="12"/>
      <c r="C923" s="12"/>
      <c r="D923" s="12"/>
      <c r="E923" s="12"/>
      <c r="F923" s="13"/>
      <c r="G923" s="12"/>
    </row>
    <row r="924">
      <c r="A924" s="4"/>
      <c r="B924" s="12"/>
      <c r="C924" s="12"/>
      <c r="D924" s="12"/>
      <c r="E924" s="12"/>
      <c r="F924" s="13"/>
      <c r="G924" s="12"/>
    </row>
    <row r="925">
      <c r="A925" s="4"/>
      <c r="B925" s="12"/>
      <c r="C925" s="12"/>
      <c r="D925" s="12"/>
      <c r="E925" s="12"/>
      <c r="F925" s="13"/>
      <c r="G925" s="12"/>
    </row>
    <row r="926">
      <c r="A926" s="4"/>
      <c r="B926" s="12"/>
      <c r="C926" s="12"/>
      <c r="D926" s="12"/>
      <c r="E926" s="12"/>
      <c r="F926" s="13"/>
      <c r="G926" s="12"/>
    </row>
    <row r="927">
      <c r="A927" s="4"/>
      <c r="B927" s="12"/>
      <c r="C927" s="12"/>
      <c r="D927" s="12"/>
      <c r="E927" s="12"/>
      <c r="F927" s="13"/>
      <c r="G927" s="12"/>
    </row>
    <row r="928">
      <c r="A928" s="4"/>
      <c r="B928" s="12"/>
      <c r="C928" s="12"/>
      <c r="D928" s="12"/>
      <c r="E928" s="12"/>
      <c r="F928" s="13"/>
      <c r="G928" s="12"/>
    </row>
    <row r="929">
      <c r="A929" s="4"/>
      <c r="B929" s="12"/>
      <c r="C929" s="12"/>
      <c r="D929" s="12"/>
      <c r="E929" s="12"/>
      <c r="F929" s="13"/>
      <c r="G929" s="12"/>
    </row>
    <row r="930">
      <c r="A930" s="4"/>
      <c r="B930" s="12"/>
      <c r="C930" s="12"/>
      <c r="D930" s="12"/>
      <c r="E930" s="12"/>
      <c r="F930" s="13"/>
      <c r="G930" s="12"/>
    </row>
    <row r="931">
      <c r="A931" s="4"/>
      <c r="B931" s="12"/>
      <c r="C931" s="12"/>
      <c r="D931" s="12"/>
      <c r="E931" s="12"/>
      <c r="F931" s="13"/>
      <c r="G931" s="12"/>
    </row>
    <row r="932">
      <c r="A932" s="4"/>
      <c r="B932" s="12"/>
      <c r="C932" s="12"/>
      <c r="D932" s="12"/>
      <c r="E932" s="12"/>
      <c r="F932" s="13"/>
      <c r="G932" s="12"/>
    </row>
    <row r="933">
      <c r="A933" s="4"/>
      <c r="B933" s="12"/>
      <c r="C933" s="12"/>
      <c r="D933" s="12"/>
      <c r="E933" s="12"/>
      <c r="F933" s="13"/>
      <c r="G933" s="12"/>
    </row>
    <row r="934">
      <c r="A934" s="4"/>
      <c r="B934" s="12"/>
      <c r="C934" s="12"/>
      <c r="D934" s="12"/>
      <c r="E934" s="12"/>
      <c r="F934" s="13"/>
      <c r="G934" s="12"/>
    </row>
    <row r="935">
      <c r="A935" s="4"/>
      <c r="B935" s="12"/>
      <c r="C935" s="12"/>
      <c r="D935" s="12"/>
      <c r="E935" s="12"/>
      <c r="F935" s="13"/>
      <c r="G935" s="12"/>
    </row>
    <row r="936">
      <c r="A936" s="4"/>
      <c r="B936" s="12"/>
      <c r="C936" s="12"/>
      <c r="D936" s="12"/>
      <c r="E936" s="12"/>
      <c r="F936" s="13"/>
      <c r="G936" s="12"/>
    </row>
    <row r="937">
      <c r="A937" s="4"/>
      <c r="B937" s="12"/>
      <c r="C937" s="12"/>
      <c r="D937" s="12"/>
      <c r="E937" s="12"/>
      <c r="F937" s="13"/>
      <c r="G937" s="12"/>
    </row>
    <row r="938">
      <c r="A938" s="4"/>
      <c r="B938" s="12"/>
      <c r="C938" s="12"/>
      <c r="D938" s="12"/>
      <c r="E938" s="12"/>
      <c r="F938" s="13"/>
      <c r="G938" s="12"/>
    </row>
    <row r="939">
      <c r="A939" s="4"/>
      <c r="B939" s="12"/>
      <c r="C939" s="12"/>
      <c r="D939" s="12"/>
      <c r="E939" s="12"/>
      <c r="F939" s="13"/>
      <c r="G939" s="12"/>
    </row>
    <row r="940">
      <c r="A940" s="4"/>
      <c r="B940" s="12"/>
      <c r="C940" s="12"/>
      <c r="D940" s="12"/>
      <c r="E940" s="12"/>
      <c r="F940" s="13"/>
      <c r="G940" s="12"/>
    </row>
    <row r="941">
      <c r="A941" s="4"/>
      <c r="B941" s="12"/>
      <c r="C941" s="12"/>
      <c r="D941" s="12"/>
      <c r="E941" s="12"/>
      <c r="F941" s="13"/>
      <c r="G941" s="12"/>
    </row>
    <row r="942">
      <c r="A942" s="4"/>
      <c r="B942" s="12"/>
      <c r="C942" s="12"/>
      <c r="D942" s="12"/>
      <c r="E942" s="12"/>
      <c r="F942" s="13"/>
      <c r="G942" s="12"/>
    </row>
    <row r="943">
      <c r="A943" s="4"/>
      <c r="B943" s="12"/>
      <c r="C943" s="12"/>
      <c r="D943" s="12"/>
      <c r="E943" s="12"/>
      <c r="F943" s="13"/>
      <c r="G943" s="12"/>
    </row>
    <row r="944">
      <c r="A944" s="4"/>
      <c r="B944" s="12"/>
      <c r="C944" s="12"/>
      <c r="D944" s="12"/>
      <c r="E944" s="12"/>
      <c r="F944" s="13"/>
      <c r="G944" s="12"/>
    </row>
    <row r="945">
      <c r="A945" s="4"/>
      <c r="B945" s="12"/>
      <c r="C945" s="12"/>
      <c r="D945" s="12"/>
      <c r="E945" s="12"/>
      <c r="F945" s="13"/>
      <c r="G945" s="12"/>
    </row>
    <row r="946">
      <c r="A946" s="4"/>
      <c r="B946" s="12"/>
      <c r="C946" s="12"/>
      <c r="D946" s="12"/>
      <c r="E946" s="12"/>
      <c r="F946" s="13"/>
      <c r="G946" s="12"/>
    </row>
    <row r="947">
      <c r="A947" s="4"/>
      <c r="B947" s="12"/>
      <c r="C947" s="12"/>
      <c r="D947" s="12"/>
      <c r="E947" s="12"/>
      <c r="F947" s="13"/>
      <c r="G947" s="12"/>
    </row>
    <row r="948">
      <c r="A948" s="4"/>
      <c r="B948" s="12"/>
      <c r="C948" s="12"/>
      <c r="D948" s="12"/>
      <c r="E948" s="12"/>
      <c r="F948" s="13"/>
      <c r="G948" s="12"/>
    </row>
    <row r="949">
      <c r="A949" s="4"/>
      <c r="B949" s="12"/>
      <c r="C949" s="12"/>
      <c r="D949" s="12"/>
      <c r="E949" s="12"/>
      <c r="F949" s="13"/>
      <c r="G949" s="12"/>
    </row>
    <row r="950">
      <c r="A950" s="4"/>
      <c r="B950" s="12"/>
      <c r="C950" s="12"/>
      <c r="D950" s="12"/>
      <c r="E950" s="12"/>
      <c r="F950" s="13"/>
      <c r="G950" s="12"/>
    </row>
    <row r="951">
      <c r="A951" s="4"/>
      <c r="B951" s="12"/>
      <c r="C951" s="12"/>
      <c r="D951" s="12"/>
      <c r="E951" s="12"/>
      <c r="F951" s="13"/>
      <c r="G951" s="12"/>
    </row>
    <row r="952">
      <c r="A952" s="4"/>
      <c r="B952" s="12"/>
      <c r="C952" s="12"/>
      <c r="D952" s="12"/>
      <c r="E952" s="12"/>
      <c r="F952" s="13"/>
      <c r="G952" s="12"/>
    </row>
    <row r="953">
      <c r="A953" s="4"/>
      <c r="B953" s="12"/>
      <c r="C953" s="12"/>
      <c r="D953" s="12"/>
      <c r="E953" s="12"/>
      <c r="F953" s="13"/>
      <c r="G953" s="12"/>
    </row>
    <row r="954">
      <c r="A954" s="4"/>
      <c r="B954" s="12"/>
      <c r="C954" s="12"/>
      <c r="D954" s="12"/>
      <c r="E954" s="12"/>
      <c r="F954" s="13"/>
      <c r="G954" s="12"/>
    </row>
    <row r="955">
      <c r="A955" s="4"/>
      <c r="B955" s="12"/>
      <c r="C955" s="12"/>
      <c r="D955" s="12"/>
      <c r="E955" s="12"/>
      <c r="F955" s="13"/>
      <c r="G955" s="12"/>
    </row>
    <row r="956">
      <c r="A956" s="4"/>
      <c r="B956" s="12"/>
      <c r="C956" s="12"/>
      <c r="D956" s="12"/>
      <c r="E956" s="12"/>
      <c r="F956" s="13"/>
      <c r="G956" s="12"/>
    </row>
    <row r="957">
      <c r="A957" s="4"/>
      <c r="B957" s="12"/>
      <c r="C957" s="12"/>
      <c r="D957" s="12"/>
      <c r="E957" s="12"/>
      <c r="F957" s="13"/>
      <c r="G957" s="12"/>
    </row>
    <row r="958">
      <c r="A958" s="4"/>
      <c r="B958" s="12"/>
      <c r="C958" s="12"/>
      <c r="D958" s="12"/>
      <c r="E958" s="12"/>
      <c r="F958" s="13"/>
      <c r="G958" s="12"/>
    </row>
    <row r="959">
      <c r="A959" s="4"/>
      <c r="B959" s="12"/>
      <c r="C959" s="12"/>
      <c r="D959" s="12"/>
      <c r="E959" s="12"/>
      <c r="F959" s="13"/>
      <c r="G959" s="12"/>
    </row>
    <row r="960">
      <c r="A960" s="4"/>
      <c r="B960" s="12"/>
      <c r="C960" s="12"/>
      <c r="D960" s="12"/>
      <c r="E960" s="12"/>
      <c r="F960" s="13"/>
      <c r="G960" s="12"/>
    </row>
    <row r="961">
      <c r="A961" s="4"/>
      <c r="B961" s="12"/>
      <c r="C961" s="12"/>
      <c r="D961" s="12"/>
      <c r="E961" s="12"/>
      <c r="F961" s="13"/>
      <c r="G961" s="12"/>
    </row>
    <row r="962">
      <c r="A962" s="4"/>
      <c r="B962" s="12"/>
      <c r="C962" s="12"/>
      <c r="D962" s="12"/>
      <c r="E962" s="12"/>
      <c r="F962" s="13"/>
      <c r="G962" s="12"/>
    </row>
    <row r="963">
      <c r="A963" s="4"/>
      <c r="B963" s="12"/>
      <c r="C963" s="12"/>
      <c r="D963" s="12"/>
      <c r="E963" s="12"/>
      <c r="F963" s="13"/>
      <c r="G963" s="12"/>
    </row>
    <row r="964">
      <c r="A964" s="4"/>
      <c r="B964" s="12"/>
      <c r="C964" s="12"/>
      <c r="D964" s="12"/>
      <c r="E964" s="12"/>
      <c r="F964" s="13"/>
      <c r="G964" s="12"/>
    </row>
    <row r="965">
      <c r="A965" s="4"/>
      <c r="B965" s="12"/>
      <c r="C965" s="12"/>
      <c r="D965" s="12"/>
      <c r="E965" s="12"/>
      <c r="F965" s="13"/>
      <c r="G965" s="12"/>
    </row>
    <row r="966">
      <c r="A966" s="4"/>
      <c r="B966" s="12"/>
      <c r="C966" s="12"/>
      <c r="D966" s="12"/>
      <c r="E966" s="12"/>
      <c r="F966" s="13"/>
      <c r="G966" s="12"/>
    </row>
    <row r="967">
      <c r="A967" s="4"/>
      <c r="B967" s="12"/>
      <c r="C967" s="12"/>
      <c r="D967" s="12"/>
      <c r="E967" s="12"/>
      <c r="F967" s="13"/>
      <c r="G967" s="12"/>
    </row>
    <row r="968">
      <c r="A968" s="4"/>
      <c r="B968" s="12"/>
      <c r="C968" s="12"/>
      <c r="D968" s="12"/>
      <c r="E968" s="12"/>
      <c r="F968" s="13"/>
      <c r="G968" s="12"/>
    </row>
    <row r="969">
      <c r="A969" s="4"/>
      <c r="B969" s="12"/>
      <c r="C969" s="12"/>
      <c r="D969" s="12"/>
      <c r="E969" s="12"/>
      <c r="F969" s="13"/>
      <c r="G969" s="12"/>
    </row>
    <row r="970">
      <c r="A970" s="4"/>
      <c r="B970" s="12"/>
      <c r="C970" s="12"/>
      <c r="D970" s="12"/>
      <c r="E970" s="12"/>
      <c r="F970" s="13"/>
      <c r="G970" s="12"/>
    </row>
    <row r="971">
      <c r="A971" s="4"/>
      <c r="B971" s="12"/>
      <c r="C971" s="12"/>
      <c r="D971" s="12"/>
      <c r="E971" s="12"/>
      <c r="F971" s="13"/>
      <c r="G971" s="12"/>
    </row>
    <row r="972">
      <c r="A972" s="4"/>
      <c r="B972" s="12"/>
      <c r="C972" s="12"/>
      <c r="D972" s="12"/>
      <c r="E972" s="12"/>
      <c r="F972" s="13"/>
      <c r="G972" s="12"/>
    </row>
    <row r="973">
      <c r="A973" s="4"/>
      <c r="B973" s="12"/>
      <c r="C973" s="12"/>
      <c r="D973" s="12"/>
      <c r="E973" s="12"/>
      <c r="F973" s="13"/>
      <c r="G973" s="12"/>
    </row>
    <row r="974">
      <c r="A974" s="4"/>
      <c r="B974" s="12"/>
      <c r="C974" s="12"/>
      <c r="D974" s="12"/>
      <c r="E974" s="12"/>
      <c r="F974" s="13"/>
      <c r="G974" s="12"/>
    </row>
    <row r="975">
      <c r="A975" s="4"/>
      <c r="B975" s="12"/>
      <c r="C975" s="12"/>
      <c r="D975" s="12"/>
      <c r="E975" s="12"/>
      <c r="F975" s="13"/>
      <c r="G975" s="12"/>
    </row>
    <row r="976">
      <c r="A976" s="4"/>
      <c r="B976" s="12"/>
      <c r="C976" s="12"/>
      <c r="D976" s="12"/>
      <c r="E976" s="12"/>
      <c r="F976" s="13"/>
      <c r="G976" s="12"/>
    </row>
    <row r="977">
      <c r="A977" s="4"/>
      <c r="B977" s="12"/>
      <c r="C977" s="12"/>
      <c r="D977" s="12"/>
      <c r="E977" s="12"/>
      <c r="F977" s="13"/>
      <c r="G977" s="12"/>
    </row>
    <row r="978">
      <c r="A978" s="4"/>
      <c r="B978" s="12"/>
      <c r="C978" s="12"/>
      <c r="D978" s="12"/>
      <c r="E978" s="12"/>
      <c r="F978" s="13"/>
      <c r="G978" s="12"/>
    </row>
    <row r="979">
      <c r="A979" s="4"/>
      <c r="B979" s="12"/>
      <c r="C979" s="12"/>
      <c r="D979" s="12"/>
      <c r="E979" s="12"/>
      <c r="F979" s="13"/>
      <c r="G979" s="12"/>
    </row>
    <row r="980">
      <c r="A980" s="4"/>
      <c r="B980" s="12"/>
      <c r="C980" s="12"/>
      <c r="D980" s="12"/>
      <c r="E980" s="12"/>
      <c r="F980" s="13"/>
      <c r="G980" s="12"/>
    </row>
    <row r="981">
      <c r="A981" s="4"/>
      <c r="B981" s="12"/>
      <c r="C981" s="12"/>
      <c r="D981" s="12"/>
      <c r="E981" s="12"/>
      <c r="F981" s="13"/>
      <c r="G981" s="12"/>
    </row>
    <row r="982">
      <c r="A982" s="4"/>
      <c r="B982" s="12"/>
      <c r="C982" s="12"/>
      <c r="D982" s="12"/>
      <c r="E982" s="12"/>
      <c r="F982" s="13"/>
      <c r="G982" s="12"/>
    </row>
    <row r="983">
      <c r="A983" s="4"/>
      <c r="B983" s="12"/>
      <c r="C983" s="12"/>
      <c r="D983" s="12"/>
      <c r="E983" s="12"/>
      <c r="F983" s="13"/>
      <c r="G983" s="12"/>
    </row>
    <row r="984">
      <c r="A984" s="4"/>
      <c r="B984" s="12"/>
      <c r="C984" s="12"/>
      <c r="D984" s="12"/>
      <c r="E984" s="12"/>
      <c r="F984" s="13"/>
      <c r="G984" s="12"/>
    </row>
    <row r="985">
      <c r="A985" s="4"/>
      <c r="B985" s="12"/>
      <c r="C985" s="12"/>
      <c r="D985" s="12"/>
      <c r="E985" s="12"/>
      <c r="F985" s="13"/>
      <c r="G985" s="12"/>
    </row>
    <row r="986">
      <c r="A986" s="4"/>
      <c r="B986" s="12"/>
      <c r="C986" s="12"/>
      <c r="D986" s="12"/>
      <c r="E986" s="12"/>
      <c r="F986" s="13"/>
      <c r="G986" s="12"/>
    </row>
    <row r="987">
      <c r="A987" s="4"/>
      <c r="B987" s="12"/>
      <c r="C987" s="12"/>
      <c r="D987" s="12"/>
      <c r="E987" s="12"/>
      <c r="F987" s="13"/>
      <c r="G987" s="12"/>
    </row>
    <row r="988">
      <c r="A988" s="4"/>
      <c r="B988" s="12"/>
      <c r="C988" s="12"/>
      <c r="D988" s="12"/>
      <c r="E988" s="12"/>
      <c r="F988" s="13"/>
      <c r="G988" s="12"/>
    </row>
    <row r="989">
      <c r="A989" s="4"/>
      <c r="B989" s="12"/>
      <c r="C989" s="12"/>
      <c r="D989" s="12"/>
      <c r="E989" s="12"/>
      <c r="F989" s="13"/>
      <c r="G989" s="12"/>
    </row>
    <row r="990">
      <c r="A990" s="4"/>
      <c r="B990" s="12"/>
      <c r="C990" s="12"/>
      <c r="D990" s="12"/>
      <c r="E990" s="12"/>
      <c r="F990" s="13"/>
      <c r="G990" s="12"/>
    </row>
    <row r="991">
      <c r="A991" s="4"/>
      <c r="B991" s="12"/>
      <c r="C991" s="12"/>
      <c r="D991" s="12"/>
      <c r="E991" s="12"/>
      <c r="F991" s="13"/>
      <c r="G991" s="12"/>
    </row>
    <row r="992">
      <c r="A992" s="4"/>
      <c r="B992" s="12"/>
      <c r="C992" s="12"/>
      <c r="D992" s="12"/>
      <c r="E992" s="12"/>
      <c r="F992" s="13"/>
      <c r="G992" s="12"/>
    </row>
    <row r="993">
      <c r="A993" s="4"/>
      <c r="B993" s="12"/>
      <c r="C993" s="12"/>
      <c r="D993" s="12"/>
      <c r="E993" s="12"/>
      <c r="F993" s="13"/>
      <c r="G993" s="12"/>
    </row>
    <row r="994">
      <c r="A994" s="4"/>
      <c r="B994" s="12"/>
      <c r="C994" s="12"/>
      <c r="D994" s="12"/>
      <c r="E994" s="12"/>
      <c r="F994" s="13"/>
      <c r="G994" s="12"/>
    </row>
    <row r="995">
      <c r="A995" s="4"/>
      <c r="B995" s="12"/>
      <c r="C995" s="12"/>
      <c r="D995" s="12"/>
      <c r="E995" s="12"/>
      <c r="F995" s="13"/>
      <c r="G995" s="12"/>
    </row>
    <row r="996">
      <c r="A996" s="4"/>
      <c r="B996" s="12"/>
      <c r="C996" s="12"/>
      <c r="D996" s="12"/>
      <c r="E996" s="12"/>
      <c r="F996" s="13"/>
      <c r="G996" s="12"/>
    </row>
    <row r="997">
      <c r="A997" s="4"/>
      <c r="B997" s="12"/>
      <c r="C997" s="12"/>
      <c r="D997" s="12"/>
      <c r="E997" s="12"/>
      <c r="F997" s="13"/>
      <c r="G997" s="12"/>
    </row>
    <row r="998">
      <c r="A998" s="4"/>
      <c r="B998" s="12"/>
      <c r="C998" s="12"/>
      <c r="D998" s="12"/>
      <c r="E998" s="12"/>
      <c r="F998" s="13"/>
      <c r="G998" s="12"/>
    </row>
    <row r="999">
      <c r="A999" s="4"/>
      <c r="B999" s="12"/>
      <c r="C999" s="12"/>
      <c r="D999" s="12"/>
      <c r="E999" s="12"/>
      <c r="F999" s="13"/>
      <c r="G999" s="12"/>
    </row>
    <row r="1000">
      <c r="A1000" s="4"/>
      <c r="B1000" s="12"/>
      <c r="C1000" s="12"/>
      <c r="D1000" s="12"/>
      <c r="E1000" s="12"/>
      <c r="F1000" s="13"/>
      <c r="G1000" s="1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6.88"/>
    <col customWidth="1" min="9" max="9" width="17.63"/>
    <col customWidth="1" min="10" max="10" width="15.0"/>
    <col customWidth="1" min="11" max="12" width="16.25"/>
    <col customWidth="1" min="13" max="13" width="51.88"/>
  </cols>
  <sheetData>
    <row r="1">
      <c r="A1" s="28" t="str">
        <f>IFERROR(__xludf.DUMMYFUNCTION("IMPORTRANGE(""https://docs.google.com/spreadsheets/d/1eO365hmI2Nm9_YssKGka92teOkoRD0uzSnM0r31D7ek/edit?pli=1#gid=606377111"",""2025 Drew!A:k"")"),"Job #")</f>
        <v>Job #</v>
      </c>
      <c r="B1" s="28" t="str">
        <f>IFERROR(__xludf.DUMMYFUNCTION("""COMPUTED_VALUE"""),"Name")</f>
        <v>Name</v>
      </c>
      <c r="C1" s="28" t="str">
        <f>IFERROR(__xludf.DUMMYFUNCTION("""COMPUTED_VALUE"""),"Paid in Full")</f>
        <v>Paid in Full</v>
      </c>
      <c r="D1" s="28" t="str">
        <f>IFERROR(__xludf.DUMMYFUNCTION("""COMPUTED_VALUE"""),"GP")</f>
        <v>GP</v>
      </c>
      <c r="E1" s="28" t="str">
        <f>IFERROR(__xludf.DUMMYFUNCTION("""COMPUTED_VALUE"""),"Contract")</f>
        <v>Contract</v>
      </c>
      <c r="F1" s="28" t="str">
        <f>IFERROR(__xludf.DUMMYFUNCTION("""COMPUTED_VALUE"""),"Change Orders")</f>
        <v>Change Orders</v>
      </c>
      <c r="G1" s="29" t="str">
        <f>IFERROR(__xludf.DUMMYFUNCTION("""COMPUTED_VALUE"""),"Invoiced")</f>
        <v>Invoiced</v>
      </c>
      <c r="H1" s="28" t="str">
        <f>IFERROR(__xludf.DUMMYFUNCTION("""COMPUTED_VALUE"""),"SUM of Amount Paid")</f>
        <v>SUM of Amount Paid</v>
      </c>
      <c r="I1" s="30" t="str">
        <f>IFERROR(__xludf.DUMMYFUNCTION("""COMPUTED_VALUE"""),"Expected Commission")</f>
        <v>Expected Commission</v>
      </c>
      <c r="J1" s="30" t="str">
        <f>IFERROR(__xludf.DUMMYFUNCTION("""COMPUTED_VALUE"""),"Commission Paid")</f>
        <v>Commission Paid</v>
      </c>
      <c r="K1" s="29" t="str">
        <f>IFERROR(__xludf.DUMMYFUNCTION("""COMPUTED_VALUE"""),"Commission Owed")</f>
        <v>Commission Owed</v>
      </c>
      <c r="L1" s="28" t="s">
        <v>55</v>
      </c>
      <c r="M1" s="31" t="s">
        <v>148</v>
      </c>
    </row>
    <row r="2">
      <c r="A2" s="32">
        <f>IFERROR(__xludf.DUMMYFUNCTION("""COMPUTED_VALUE"""),2.025501E7)</f>
        <v>20255010</v>
      </c>
      <c r="B2" s="32" t="str">
        <f>IFERROR(__xludf.DUMMYFUNCTION("""COMPUTED_VALUE"""),"Deborah Tippie")</f>
        <v>Deborah Tippie</v>
      </c>
      <c r="C2" s="32" t="b">
        <f>IFERROR(__xludf.DUMMYFUNCTION("""COMPUTED_VALUE"""),TRUE)</f>
        <v>1</v>
      </c>
      <c r="D2" s="33">
        <f>IFERROR(__xludf.DUMMYFUNCTION("""COMPUTED_VALUE"""),0.4145004334330696)</f>
        <v>0.4145004334</v>
      </c>
      <c r="E2" s="34">
        <f>IFERROR(__xludf.DUMMYFUNCTION("""COMPUTED_VALUE"""),14404.4)</f>
        <v>14404.4</v>
      </c>
      <c r="F2" s="34">
        <f>IFERROR(__xludf.DUMMYFUNCTION("""COMPUTED_VALUE"""),-100.0)</f>
        <v>-100</v>
      </c>
      <c r="G2" s="34">
        <f>IFERROR(__xludf.DUMMYFUNCTION("""COMPUTED_VALUE"""),14304.4)</f>
        <v>14304.4</v>
      </c>
      <c r="H2" s="34">
        <f>IFERROR(__xludf.DUMMYFUNCTION("""COMPUTED_VALUE"""),14304.4)</f>
        <v>14304.4</v>
      </c>
      <c r="I2" s="35">
        <f>IFERROR(__xludf.DUMMYFUNCTION("""COMPUTED_VALUE"""),572.176)</f>
        <v>572.176</v>
      </c>
      <c r="J2" s="35">
        <f>IFERROR(__xludf.DUMMYFUNCTION("""COMPUTED_VALUE"""),572.18)</f>
        <v>572.18</v>
      </c>
      <c r="K2" s="36">
        <f>IFERROR(__xludf.DUMMYFUNCTION("""COMPUTED_VALUE"""),0.0)</f>
        <v>0</v>
      </c>
      <c r="L2" s="37" t="b">
        <v>0</v>
      </c>
      <c r="M2" s="38" t="s">
        <v>149</v>
      </c>
    </row>
    <row r="3">
      <c r="A3" s="32">
        <f>IFERROR(__xludf.DUMMYFUNCTION("""COMPUTED_VALUE"""),2.0255021E7)</f>
        <v>20255021</v>
      </c>
      <c r="B3" s="32" t="str">
        <f>IFERROR(__xludf.DUMMYFUNCTION("""COMPUTED_VALUE"""),"Tom Watkin")</f>
        <v>Tom Watkin</v>
      </c>
      <c r="C3" s="32" t="b">
        <f>IFERROR(__xludf.DUMMYFUNCTION("""COMPUTED_VALUE"""),TRUE)</f>
        <v>1</v>
      </c>
      <c r="D3" s="39">
        <f>IFERROR(__xludf.DUMMYFUNCTION("""COMPUTED_VALUE"""),0.20732781501379585)</f>
        <v>0.207327815</v>
      </c>
      <c r="E3" s="34">
        <f>IFERROR(__xludf.DUMMYFUNCTION("""COMPUTED_VALUE"""),1714.29)</f>
        <v>1714.29</v>
      </c>
      <c r="F3" s="34">
        <f>IFERROR(__xludf.DUMMYFUNCTION("""COMPUTED_VALUE"""),0.0)</f>
        <v>0</v>
      </c>
      <c r="G3" s="34">
        <f>IFERROR(__xludf.DUMMYFUNCTION("""COMPUTED_VALUE"""),1714.29)</f>
        <v>1714.29</v>
      </c>
      <c r="H3" s="34">
        <f>IFERROR(__xludf.DUMMYFUNCTION("""COMPUTED_VALUE"""),1714.29)</f>
        <v>1714.29</v>
      </c>
      <c r="I3" s="40">
        <f>IFERROR(__xludf.DUMMYFUNCTION("""COMPUTED_VALUE"""),85.7145)</f>
        <v>85.7145</v>
      </c>
      <c r="J3" s="40">
        <f>IFERROR(__xludf.DUMMYFUNCTION("""COMPUTED_VALUE"""),85.71)</f>
        <v>85.71</v>
      </c>
      <c r="K3" s="36">
        <f>IFERROR(__xludf.DUMMYFUNCTION("""COMPUTED_VALUE"""),0.0)</f>
        <v>0</v>
      </c>
      <c r="L3" s="37" t="b">
        <v>0</v>
      </c>
      <c r="M3" s="28"/>
    </row>
    <row r="4">
      <c r="A4" s="32">
        <f>IFERROR(__xludf.DUMMYFUNCTION("""COMPUTED_VALUE"""),2.0255023E7)</f>
        <v>20255023</v>
      </c>
      <c r="B4" s="32" t="str">
        <f>IFERROR(__xludf.DUMMYFUNCTION("""COMPUTED_VALUE"""),"Cory Leckey")</f>
        <v>Cory Leckey</v>
      </c>
      <c r="C4" s="33" t="b">
        <f>IFERROR(__xludf.DUMMYFUNCTION("""COMPUTED_VALUE"""),TRUE)</f>
        <v>1</v>
      </c>
      <c r="D4" s="33">
        <f>IFERROR(__xludf.DUMMYFUNCTION("""COMPUTED_VALUE"""),0.4004355206951452)</f>
        <v>0.4004355207</v>
      </c>
      <c r="E4" s="34">
        <f>IFERROR(__xludf.DUMMYFUNCTION("""COMPUTED_VALUE"""),10824.89)</f>
        <v>10824.89</v>
      </c>
      <c r="F4" s="34">
        <f>IFERROR(__xludf.DUMMYFUNCTION("""COMPUTED_VALUE"""),550.0)</f>
        <v>550</v>
      </c>
      <c r="G4" s="34">
        <f>IFERROR(__xludf.DUMMYFUNCTION("""COMPUTED_VALUE"""),11374.89)</f>
        <v>11374.89</v>
      </c>
      <c r="H4" s="34">
        <f>IFERROR(__xludf.DUMMYFUNCTION("""COMPUTED_VALUE"""),11374.89)</f>
        <v>11374.89</v>
      </c>
      <c r="I4" s="40">
        <f>IFERROR(__xludf.DUMMYFUNCTION("""COMPUTED_VALUE"""),568.7445)</f>
        <v>568.7445</v>
      </c>
      <c r="J4" s="40">
        <f>IFERROR(__xludf.DUMMYFUNCTION("""COMPUTED_VALUE"""),568.74)</f>
        <v>568.74</v>
      </c>
      <c r="K4" s="36">
        <f>IFERROR(__xludf.DUMMYFUNCTION("""COMPUTED_VALUE"""),0.0)</f>
        <v>0</v>
      </c>
      <c r="L4" s="37" t="b">
        <v>0</v>
      </c>
      <c r="M4" s="28"/>
    </row>
    <row r="5">
      <c r="A5" s="32">
        <f>IFERROR(__xludf.DUMMYFUNCTION("""COMPUTED_VALUE"""),2.0255029E7)</f>
        <v>20255029</v>
      </c>
      <c r="B5" s="32" t="str">
        <f>IFERROR(__xludf.DUMMYFUNCTION("""COMPUTED_VALUE"""),"Andrew Walter")</f>
        <v>Andrew Walter</v>
      </c>
      <c r="C5" s="33" t="b">
        <f>IFERROR(__xludf.DUMMYFUNCTION("""COMPUTED_VALUE"""),TRUE)</f>
        <v>1</v>
      </c>
      <c r="D5" s="39">
        <f>IFERROR(__xludf.DUMMYFUNCTION("""COMPUTED_VALUE"""),0.11616445576737232)</f>
        <v>0.1161644558</v>
      </c>
      <c r="E5" s="34">
        <f>IFERROR(__xludf.DUMMYFUNCTION("""COMPUTED_VALUE"""),1138.3)</f>
        <v>1138.3</v>
      </c>
      <c r="F5" s="34">
        <f>IFERROR(__xludf.DUMMYFUNCTION("""COMPUTED_VALUE"""),0.0)</f>
        <v>0</v>
      </c>
      <c r="G5" s="34">
        <f>IFERROR(__xludf.DUMMYFUNCTION("""COMPUTED_VALUE"""),1138.3)</f>
        <v>1138.3</v>
      </c>
      <c r="H5" s="34">
        <f>IFERROR(__xludf.DUMMYFUNCTION("""COMPUTED_VALUE"""),1138.3)</f>
        <v>1138.3</v>
      </c>
      <c r="I5" s="40">
        <f>IFERROR(__xludf.DUMMYFUNCTION("""COMPUTED_VALUE"""),56.915)</f>
        <v>56.915</v>
      </c>
      <c r="J5" s="40">
        <f>IFERROR(__xludf.DUMMYFUNCTION("""COMPUTED_VALUE"""),56.91)</f>
        <v>56.91</v>
      </c>
      <c r="K5" s="36">
        <f>IFERROR(__xludf.DUMMYFUNCTION("""COMPUTED_VALUE"""),0.0)</f>
        <v>0</v>
      </c>
      <c r="L5" s="37" t="b">
        <v>0</v>
      </c>
      <c r="M5" s="28"/>
    </row>
    <row r="6">
      <c r="A6" s="32">
        <f>IFERROR(__xludf.DUMMYFUNCTION("""COMPUTED_VALUE"""),2.025503E7)</f>
        <v>20255030</v>
      </c>
      <c r="B6" s="32" t="str">
        <f>IFERROR(__xludf.DUMMYFUNCTION("""COMPUTED_VALUE"""),"Michael Hill")</f>
        <v>Michael Hill</v>
      </c>
      <c r="C6" s="33" t="b">
        <f>IFERROR(__xludf.DUMMYFUNCTION("""COMPUTED_VALUE"""),TRUE)</f>
        <v>1</v>
      </c>
      <c r="D6" s="33">
        <f>IFERROR(__xludf.DUMMYFUNCTION("""COMPUTED_VALUE"""),0.5505566183418996)</f>
        <v>0.5505566183</v>
      </c>
      <c r="E6" s="34">
        <f>IFERROR(__xludf.DUMMYFUNCTION("""COMPUTED_VALUE"""),2169.35)</f>
        <v>2169.35</v>
      </c>
      <c r="F6" s="34">
        <f>IFERROR(__xludf.DUMMYFUNCTION("""COMPUTED_VALUE"""),0.0)</f>
        <v>0</v>
      </c>
      <c r="G6" s="34">
        <f>IFERROR(__xludf.DUMMYFUNCTION("""COMPUTED_VALUE"""),2169.35)</f>
        <v>2169.35</v>
      </c>
      <c r="H6" s="34">
        <f>IFERROR(__xludf.DUMMYFUNCTION("""COMPUTED_VALUE"""),2169.35)</f>
        <v>2169.35</v>
      </c>
      <c r="I6" s="40">
        <f>IFERROR(__xludf.DUMMYFUNCTION("""COMPUTED_VALUE"""),108.4675)</f>
        <v>108.4675</v>
      </c>
      <c r="J6" s="40">
        <f>IFERROR(__xludf.DUMMYFUNCTION("""COMPUTED_VALUE"""),108.47)</f>
        <v>108.47</v>
      </c>
      <c r="K6" s="36">
        <f>IFERROR(__xludf.DUMMYFUNCTION("""COMPUTED_VALUE"""),0.0)</f>
        <v>0</v>
      </c>
      <c r="L6" s="37" t="b">
        <v>0</v>
      </c>
      <c r="M6" s="28"/>
    </row>
    <row r="7">
      <c r="A7" s="32">
        <f>IFERROR(__xludf.DUMMYFUNCTION("""COMPUTED_VALUE"""),2.0255038E7)</f>
        <v>20255038</v>
      </c>
      <c r="B7" s="32" t="str">
        <f>IFERROR(__xludf.DUMMYFUNCTION("""COMPUTED_VALUE"""),"Brandon Mix")</f>
        <v>Brandon Mix</v>
      </c>
      <c r="C7" s="33" t="b">
        <f>IFERROR(__xludf.DUMMYFUNCTION("""COMPUTED_VALUE"""),TRUE)</f>
        <v>1</v>
      </c>
      <c r="D7" s="33">
        <f>IFERROR(__xludf.DUMMYFUNCTION("""COMPUTED_VALUE"""),0.49463796242572183)</f>
        <v>0.4946379624</v>
      </c>
      <c r="E7" s="34">
        <f>IFERROR(__xludf.DUMMYFUNCTION("""COMPUTED_VALUE"""),4998.1)</f>
        <v>4998.1</v>
      </c>
      <c r="F7" s="34">
        <f>IFERROR(__xludf.DUMMYFUNCTION("""COMPUTED_VALUE"""),0.0)</f>
        <v>0</v>
      </c>
      <c r="G7" s="34">
        <f>IFERROR(__xludf.DUMMYFUNCTION("""COMPUTED_VALUE"""),4998.1)</f>
        <v>4998.1</v>
      </c>
      <c r="H7" s="34">
        <f>IFERROR(__xludf.DUMMYFUNCTION("""COMPUTED_VALUE"""),4998.1)</f>
        <v>4998.1</v>
      </c>
      <c r="I7" s="40">
        <f>IFERROR(__xludf.DUMMYFUNCTION("""COMPUTED_VALUE"""),249.90500000000003)</f>
        <v>249.905</v>
      </c>
      <c r="J7" s="40">
        <f>IFERROR(__xludf.DUMMYFUNCTION("""COMPUTED_VALUE"""),249.91)</f>
        <v>249.91</v>
      </c>
      <c r="K7" s="36">
        <f>IFERROR(__xludf.DUMMYFUNCTION("""COMPUTED_VALUE"""),0.0)</f>
        <v>0</v>
      </c>
      <c r="L7" s="37" t="b">
        <v>0</v>
      </c>
      <c r="M7" s="28"/>
    </row>
    <row r="8">
      <c r="A8" s="32">
        <f>IFERROR(__xludf.DUMMYFUNCTION("""COMPUTED_VALUE"""),2.0255051E7)</f>
        <v>20255051</v>
      </c>
      <c r="B8" s="32" t="str">
        <f>IFERROR(__xludf.DUMMYFUNCTION("""COMPUTED_VALUE"""),"Dustin Johnson")</f>
        <v>Dustin Johnson</v>
      </c>
      <c r="C8" s="33" t="b">
        <f>IFERROR(__xludf.DUMMYFUNCTION("""COMPUTED_VALUE"""),TRUE)</f>
        <v>1</v>
      </c>
      <c r="D8" s="33">
        <f>IFERROR(__xludf.DUMMYFUNCTION("""COMPUTED_VALUE"""),0.3468789876217665)</f>
        <v>0.3468789876</v>
      </c>
      <c r="E8" s="34">
        <f>IFERROR(__xludf.DUMMYFUNCTION("""COMPUTED_VALUE"""),25931.81)</f>
        <v>25931.81</v>
      </c>
      <c r="F8" s="34">
        <f>IFERROR(__xludf.DUMMYFUNCTION("""COMPUTED_VALUE"""),0.0)</f>
        <v>0</v>
      </c>
      <c r="G8" s="34">
        <f>IFERROR(__xludf.DUMMYFUNCTION("""COMPUTED_VALUE"""),25931.81)</f>
        <v>25931.81</v>
      </c>
      <c r="H8" s="34">
        <f>IFERROR(__xludf.DUMMYFUNCTION("""COMPUTED_VALUE"""),25931.81)</f>
        <v>25931.81</v>
      </c>
      <c r="I8" s="40">
        <f>IFERROR(__xludf.DUMMYFUNCTION("""COMPUTED_VALUE"""),1296.5905000000002)</f>
        <v>1296.5905</v>
      </c>
      <c r="J8" s="40">
        <f>IFERROR(__xludf.DUMMYFUNCTION("""COMPUTED_VALUE"""),1296.59)</f>
        <v>1296.59</v>
      </c>
      <c r="K8" s="36">
        <f>IFERROR(__xludf.DUMMYFUNCTION("""COMPUTED_VALUE"""),0.0)</f>
        <v>0</v>
      </c>
      <c r="L8" s="37" t="b">
        <v>0</v>
      </c>
      <c r="M8" s="28"/>
    </row>
    <row r="9">
      <c r="A9" s="32">
        <f>IFERROR(__xludf.DUMMYFUNCTION("""COMPUTED_VALUE"""),2.0255053E7)</f>
        <v>20255053</v>
      </c>
      <c r="B9" s="32" t="str">
        <f>IFERROR(__xludf.DUMMYFUNCTION("""COMPUTED_VALUE"""),"Mark Wolfe")</f>
        <v>Mark Wolfe</v>
      </c>
      <c r="C9" s="33" t="b">
        <f>IFERROR(__xludf.DUMMYFUNCTION("""COMPUTED_VALUE"""),TRUE)</f>
        <v>1</v>
      </c>
      <c r="D9" s="33">
        <f>IFERROR(__xludf.DUMMYFUNCTION("""COMPUTED_VALUE"""),0.41772661407180806)</f>
        <v>0.4177266141</v>
      </c>
      <c r="E9" s="34">
        <f>IFERROR(__xludf.DUMMYFUNCTION("""COMPUTED_VALUE"""),11800.9)</f>
        <v>11800.9</v>
      </c>
      <c r="F9" s="34">
        <f>IFERROR(__xludf.DUMMYFUNCTION("""COMPUTED_VALUE"""),0.0)</f>
        <v>0</v>
      </c>
      <c r="G9" s="34">
        <f>IFERROR(__xludf.DUMMYFUNCTION("""COMPUTED_VALUE"""),11800.9)</f>
        <v>11800.9</v>
      </c>
      <c r="H9" s="34">
        <f>IFERROR(__xludf.DUMMYFUNCTION("""COMPUTED_VALUE"""),11800.9)</f>
        <v>11800.9</v>
      </c>
      <c r="I9" s="40">
        <f>IFERROR(__xludf.DUMMYFUNCTION("""COMPUTED_VALUE"""),590.045)</f>
        <v>590.045</v>
      </c>
      <c r="J9" s="40">
        <f>IFERROR(__xludf.DUMMYFUNCTION("""COMPUTED_VALUE"""),590.04)</f>
        <v>590.04</v>
      </c>
      <c r="K9" s="36">
        <f>IFERROR(__xludf.DUMMYFUNCTION("""COMPUTED_VALUE"""),0.0)</f>
        <v>0</v>
      </c>
      <c r="L9" s="37" t="b">
        <v>0</v>
      </c>
      <c r="M9" s="28"/>
    </row>
    <row r="10">
      <c r="A10" s="32">
        <f>IFERROR(__xludf.DUMMYFUNCTION("""COMPUTED_VALUE"""),2.0255058E7)</f>
        <v>20255058</v>
      </c>
      <c r="B10" s="32" t="str">
        <f>IFERROR(__xludf.DUMMYFUNCTION("""COMPUTED_VALUE"""),"Dorothy Reed")</f>
        <v>Dorothy Reed</v>
      </c>
      <c r="C10" s="32" t="b">
        <f>IFERROR(__xludf.DUMMYFUNCTION("""COMPUTED_VALUE"""),TRUE)</f>
        <v>1</v>
      </c>
      <c r="D10" s="33">
        <f>IFERROR(__xludf.DUMMYFUNCTION("""COMPUTED_VALUE"""),0.3322)</f>
        <v>0.3322</v>
      </c>
      <c r="E10" s="34">
        <f>IFERROR(__xludf.DUMMYFUNCTION("""COMPUTED_VALUE"""),1829.95)</f>
        <v>1829.95</v>
      </c>
      <c r="F10" s="34">
        <f>IFERROR(__xludf.DUMMYFUNCTION("""COMPUTED_VALUE"""),-603.8400000000001)</f>
        <v>-603.84</v>
      </c>
      <c r="G10" s="34">
        <f>IFERROR(__xludf.DUMMYFUNCTION("""COMPUTED_VALUE"""),1226.11)</f>
        <v>1226.11</v>
      </c>
      <c r="H10" s="34">
        <f>IFERROR(__xludf.DUMMYFUNCTION("""COMPUTED_VALUE"""),1226.11)</f>
        <v>1226.11</v>
      </c>
      <c r="I10" s="40">
        <f>IFERROR(__xludf.DUMMYFUNCTION("""COMPUTED_VALUE"""),61.305499999999995)</f>
        <v>61.3055</v>
      </c>
      <c r="J10" s="40">
        <f>IFERROR(__xludf.DUMMYFUNCTION("""COMPUTED_VALUE"""),61.31)</f>
        <v>61.31</v>
      </c>
      <c r="K10" s="37"/>
      <c r="L10" s="37" t="b">
        <v>0</v>
      </c>
      <c r="M10" s="28"/>
    </row>
    <row r="11">
      <c r="A11" s="32">
        <f>IFERROR(__xludf.DUMMYFUNCTION("""COMPUTED_VALUE"""),2.0255059E7)</f>
        <v>20255059</v>
      </c>
      <c r="B11" s="32" t="str">
        <f>IFERROR(__xludf.DUMMYFUNCTION("""COMPUTED_VALUE"""),"Drew Haker")</f>
        <v>Drew Haker</v>
      </c>
      <c r="C11" s="33" t="b">
        <f>IFERROR(__xludf.DUMMYFUNCTION("""COMPUTED_VALUE"""),TRUE)</f>
        <v>1</v>
      </c>
      <c r="D11" s="33">
        <f>IFERROR(__xludf.DUMMYFUNCTION("""COMPUTED_VALUE"""),0.601063829787234)</f>
        <v>0.6010638298</v>
      </c>
      <c r="E11" s="34">
        <f>IFERROR(__xludf.DUMMYFUNCTION("""COMPUTED_VALUE"""),940.0)</f>
        <v>940</v>
      </c>
      <c r="F11" s="34">
        <f>IFERROR(__xludf.DUMMYFUNCTION("""COMPUTED_VALUE"""),0.0)</f>
        <v>0</v>
      </c>
      <c r="G11" s="34">
        <f>IFERROR(__xludf.DUMMYFUNCTION("""COMPUTED_VALUE"""),940.0)</f>
        <v>940</v>
      </c>
      <c r="H11" s="34">
        <f>IFERROR(__xludf.DUMMYFUNCTION("""COMPUTED_VALUE"""),940.0)</f>
        <v>940</v>
      </c>
      <c r="I11" s="40">
        <f>IFERROR(__xludf.DUMMYFUNCTION("""COMPUTED_VALUE"""),47.0)</f>
        <v>47</v>
      </c>
      <c r="J11" s="40">
        <f>IFERROR(__xludf.DUMMYFUNCTION("""COMPUTED_VALUE"""),47.0)</f>
        <v>47</v>
      </c>
      <c r="K11" s="36">
        <f>IFERROR(__xludf.DUMMYFUNCTION("""COMPUTED_VALUE"""),0.0)</f>
        <v>0</v>
      </c>
      <c r="L11" s="37" t="b">
        <v>0</v>
      </c>
      <c r="M11" s="28"/>
    </row>
    <row r="12">
      <c r="A12" s="32">
        <f>IFERROR(__xludf.DUMMYFUNCTION("""COMPUTED_VALUE"""),2.0255062E7)</f>
        <v>20255062</v>
      </c>
      <c r="B12" s="32" t="str">
        <f>IFERROR(__xludf.DUMMYFUNCTION("""COMPUTED_VALUE"""),"Shawn Vehr")</f>
        <v>Shawn Vehr</v>
      </c>
      <c r="C12" s="32" t="b">
        <f>IFERROR(__xludf.DUMMYFUNCTION("""COMPUTED_VALUE"""),TRUE)</f>
        <v>1</v>
      </c>
      <c r="D12" s="33">
        <f>IFERROR(__xludf.DUMMYFUNCTION("""COMPUTED_VALUE"""),0.5649847125198301)</f>
        <v>0.5649847125</v>
      </c>
      <c r="E12" s="34">
        <f>IFERROR(__xludf.DUMMYFUNCTION("""COMPUTED_VALUE"""),10060.52)</f>
        <v>10060.52</v>
      </c>
      <c r="F12" s="34">
        <f>IFERROR(__xludf.DUMMYFUNCTION("""COMPUTED_VALUE"""),0.0)</f>
        <v>0</v>
      </c>
      <c r="G12" s="34">
        <f>IFERROR(__xludf.DUMMYFUNCTION("""COMPUTED_VALUE"""),10060.52)</f>
        <v>10060.52</v>
      </c>
      <c r="H12" s="34">
        <f>IFERROR(__xludf.DUMMYFUNCTION("""COMPUTED_VALUE"""),10060.52)</f>
        <v>10060.52</v>
      </c>
      <c r="I12" s="40">
        <f>IFERROR(__xludf.DUMMYFUNCTION("""COMPUTED_VALUE"""),503.02600000000007)</f>
        <v>503.026</v>
      </c>
      <c r="J12" s="40">
        <f>IFERROR(__xludf.DUMMYFUNCTION("""COMPUTED_VALUE"""),503.03)</f>
        <v>503.03</v>
      </c>
      <c r="K12" s="36">
        <f>IFERROR(__xludf.DUMMYFUNCTION("""COMPUTED_VALUE"""),0.0)</f>
        <v>0</v>
      </c>
      <c r="L12" s="37" t="b">
        <v>0</v>
      </c>
      <c r="M12" s="28"/>
    </row>
    <row r="13">
      <c r="A13" s="32">
        <f>IFERROR(__xludf.DUMMYFUNCTION("""COMPUTED_VALUE"""),2.0255064E7)</f>
        <v>20255064</v>
      </c>
      <c r="B13" s="32" t="str">
        <f>IFERROR(__xludf.DUMMYFUNCTION("""COMPUTED_VALUE"""),"INS - Katherine Clemmer")</f>
        <v>INS - Katherine Clemmer</v>
      </c>
      <c r="C13" s="33" t="b">
        <f>IFERROR(__xludf.DUMMYFUNCTION("""COMPUTED_VALUE"""),TRUE)</f>
        <v>1</v>
      </c>
      <c r="D13" s="33">
        <f>IFERROR(__xludf.DUMMYFUNCTION("""COMPUTED_VALUE"""),0.5125162112425977)</f>
        <v>0.5125162112</v>
      </c>
      <c r="E13" s="34">
        <f>IFERROR(__xludf.DUMMYFUNCTION("""COMPUTED_VALUE"""),4427.24)</f>
        <v>4427.24</v>
      </c>
      <c r="F13" s="34">
        <f>IFERROR(__xludf.DUMMYFUNCTION("""COMPUTED_VALUE"""),1756.7399999999998)</f>
        <v>1756.74</v>
      </c>
      <c r="G13" s="34">
        <f>IFERROR(__xludf.DUMMYFUNCTION("""COMPUTED_VALUE"""),6183.98)</f>
        <v>6183.98</v>
      </c>
      <c r="H13" s="34">
        <f>IFERROR(__xludf.DUMMYFUNCTION("""COMPUTED_VALUE"""),6183.98)</f>
        <v>6183.98</v>
      </c>
      <c r="I13" s="40">
        <f>IFERROR(__xludf.DUMMYFUNCTION("""COMPUTED_VALUE"""),309.199)</f>
        <v>309.199</v>
      </c>
      <c r="J13" s="40">
        <f>IFERROR(__xludf.DUMMYFUNCTION("""COMPUTED_VALUE"""),309.2)</f>
        <v>309.2</v>
      </c>
      <c r="K13" s="36">
        <f>IFERROR(__xludf.DUMMYFUNCTION("""COMPUTED_VALUE"""),0.0)</f>
        <v>0</v>
      </c>
      <c r="L13" s="37" t="b">
        <v>0</v>
      </c>
      <c r="M13" s="28"/>
    </row>
    <row r="14">
      <c r="A14" s="32">
        <f>IFERROR(__xludf.DUMMYFUNCTION("""COMPUTED_VALUE"""),2.0255066E7)</f>
        <v>20255066</v>
      </c>
      <c r="B14" s="32" t="str">
        <f>IFERROR(__xludf.DUMMYFUNCTION("""COMPUTED_VALUE"""),"Jamie Coy")</f>
        <v>Jamie Coy</v>
      </c>
      <c r="C14" s="33" t="b">
        <f>IFERROR(__xludf.DUMMYFUNCTION("""COMPUTED_VALUE"""),TRUE)</f>
        <v>1</v>
      </c>
      <c r="D14" s="33">
        <f>IFERROR(__xludf.DUMMYFUNCTION("""COMPUTED_VALUE"""),0.48878475114593595)</f>
        <v>0.4887847511</v>
      </c>
      <c r="E14" s="34">
        <f>IFERROR(__xludf.DUMMYFUNCTION("""COMPUTED_VALUE"""),15148.55)</f>
        <v>15148.55</v>
      </c>
      <c r="F14" s="34">
        <f>IFERROR(__xludf.DUMMYFUNCTION("""COMPUTED_VALUE"""),7300.350000000002)</f>
        <v>7300.35</v>
      </c>
      <c r="G14" s="34">
        <f>IFERROR(__xludf.DUMMYFUNCTION("""COMPUTED_VALUE"""),22448.9)</f>
        <v>22448.9</v>
      </c>
      <c r="H14" s="34">
        <f>IFERROR(__xludf.DUMMYFUNCTION("""COMPUTED_VALUE"""),22448.9)</f>
        <v>22448.9</v>
      </c>
      <c r="I14" s="40">
        <f>IFERROR(__xludf.DUMMYFUNCTION("""COMPUTED_VALUE"""),1122.4450000000002)</f>
        <v>1122.445</v>
      </c>
      <c r="J14" s="40">
        <f>IFERROR(__xludf.DUMMYFUNCTION("""COMPUTED_VALUE"""),1122.45)</f>
        <v>1122.45</v>
      </c>
      <c r="K14" s="36">
        <f>IFERROR(__xludf.DUMMYFUNCTION("""COMPUTED_VALUE"""),0.0)</f>
        <v>0</v>
      </c>
      <c r="L14" s="37" t="b">
        <v>0</v>
      </c>
      <c r="M14" s="28"/>
    </row>
    <row r="15">
      <c r="A15" s="32">
        <f>IFERROR(__xludf.DUMMYFUNCTION("""COMPUTED_VALUE"""),2.0255067E7)</f>
        <v>20255067</v>
      </c>
      <c r="B15" s="32" t="str">
        <f>IFERROR(__xludf.DUMMYFUNCTION("""COMPUTED_VALUE"""),"Craig Kauffman")</f>
        <v>Craig Kauffman</v>
      </c>
      <c r="C15" s="33" t="b">
        <f>IFERROR(__xludf.DUMMYFUNCTION("""COMPUTED_VALUE"""),TRUE)</f>
        <v>1</v>
      </c>
      <c r="D15" s="33">
        <f>IFERROR(__xludf.DUMMYFUNCTION("""COMPUTED_VALUE"""),0.3735744309286644)</f>
        <v>0.3735744309</v>
      </c>
      <c r="E15" s="34">
        <f>IFERROR(__xludf.DUMMYFUNCTION("""COMPUTED_VALUE"""),13858.2899999999)</f>
        <v>13858.29</v>
      </c>
      <c r="F15" s="34">
        <f>IFERROR(__xludf.DUMMYFUNCTION("""COMPUTED_VALUE"""),411.45000000009895)</f>
        <v>411.45</v>
      </c>
      <c r="G15" s="34">
        <f>IFERROR(__xludf.DUMMYFUNCTION("""COMPUTED_VALUE"""),14269.74)</f>
        <v>14269.74</v>
      </c>
      <c r="H15" s="34">
        <f>IFERROR(__xludf.DUMMYFUNCTION("""COMPUTED_VALUE"""),14269.74)</f>
        <v>14269.74</v>
      </c>
      <c r="I15" s="40">
        <f>IFERROR(__xludf.DUMMYFUNCTION("""COMPUTED_VALUE"""),713.4870000000001)</f>
        <v>713.487</v>
      </c>
      <c r="J15" s="40">
        <f>IFERROR(__xludf.DUMMYFUNCTION("""COMPUTED_VALUE"""),713.49)</f>
        <v>713.49</v>
      </c>
      <c r="K15" s="36">
        <f>IFERROR(__xludf.DUMMYFUNCTION("""COMPUTED_VALUE"""),0.0)</f>
        <v>0</v>
      </c>
      <c r="L15" s="37" t="b">
        <v>0</v>
      </c>
      <c r="M15" s="28"/>
    </row>
    <row r="16">
      <c r="A16" s="32">
        <f>IFERROR(__xludf.DUMMYFUNCTION("""COMPUTED_VALUE"""),2.0255069E7)</f>
        <v>20255069</v>
      </c>
      <c r="B16" s="32" t="str">
        <f>IFERROR(__xludf.DUMMYFUNCTION("""COMPUTED_VALUE"""),"INS - New Jasper Fire Station")</f>
        <v>INS - New Jasper Fire Station</v>
      </c>
      <c r="C16" s="32" t="b">
        <f>IFERROR(__xludf.DUMMYFUNCTION("""COMPUTED_VALUE"""),TRUE)</f>
        <v>1</v>
      </c>
      <c r="D16" s="33">
        <f>IFERROR(__xludf.DUMMYFUNCTION("""COMPUTED_VALUE"""),0.6278218346408994)</f>
        <v>0.6278218346</v>
      </c>
      <c r="E16" s="34">
        <f>IFERROR(__xludf.DUMMYFUNCTION("""COMPUTED_VALUE"""),127206.86)</f>
        <v>127206.86</v>
      </c>
      <c r="F16" s="34">
        <f>IFERROR(__xludf.DUMMYFUNCTION("""COMPUTED_VALUE"""),34039.3)</f>
        <v>34039.3</v>
      </c>
      <c r="G16" s="34">
        <f>IFERROR(__xludf.DUMMYFUNCTION("""COMPUTED_VALUE"""),130000.0)</f>
        <v>130000</v>
      </c>
      <c r="H16" s="34">
        <f>IFERROR(__xludf.DUMMYFUNCTION("""COMPUTED_VALUE"""),161246.16)</f>
        <v>161246.16</v>
      </c>
      <c r="I16" s="40">
        <f>IFERROR(__xludf.DUMMYFUNCTION("""COMPUTED_VALUE"""),8062.308000000001)</f>
        <v>8062.308</v>
      </c>
      <c r="J16" s="40">
        <f>IFERROR(__xludf.DUMMYFUNCTION("""COMPUTED_VALUE"""),8062.31)</f>
        <v>8062.31</v>
      </c>
      <c r="K16" s="36">
        <f>IFERROR(__xludf.DUMMYFUNCTION("""COMPUTED_VALUE"""),0.0)</f>
        <v>0</v>
      </c>
      <c r="L16" s="37" t="b">
        <v>0</v>
      </c>
      <c r="M16" s="28"/>
    </row>
    <row r="17">
      <c r="A17" s="41">
        <f>IFERROR(__xludf.DUMMYFUNCTION("""COMPUTED_VALUE"""),2.025507E7)</f>
        <v>20255070</v>
      </c>
      <c r="B17" s="41" t="str">
        <f>IFERROR(__xludf.DUMMYFUNCTION("""COMPUTED_VALUE"""),"INS - Roger Hamilton")</f>
        <v>INS - Roger Hamilton</v>
      </c>
      <c r="C17" s="41" t="b">
        <f>IFERROR(__xludf.DUMMYFUNCTION("""COMPUTED_VALUE"""),FALSE)</f>
        <v>0</v>
      </c>
      <c r="D17" s="42" t="str">
        <f>IFERROR(__xludf.DUMMYFUNCTION("""COMPUTED_VALUE"""),"")</f>
        <v/>
      </c>
      <c r="E17" s="43">
        <f>IFERROR(__xludf.DUMMYFUNCTION("""COMPUTED_VALUE"""),22774.8)</f>
        <v>22774.8</v>
      </c>
      <c r="F17" s="43">
        <f>IFERROR(__xludf.DUMMYFUNCTION("""COMPUTED_VALUE"""),0.0)</f>
        <v>0</v>
      </c>
      <c r="G17" s="43">
        <f>IFERROR(__xludf.DUMMYFUNCTION("""COMPUTED_VALUE"""),20810.96)</f>
        <v>20810.96</v>
      </c>
      <c r="H17" s="43">
        <f>IFERROR(__xludf.DUMMYFUNCTION("""COMPUTED_VALUE"""),74205.84)</f>
        <v>74205.84</v>
      </c>
      <c r="I17" s="44">
        <f>IFERROR(__xludf.DUMMYFUNCTION("""COMPUTED_VALUE"""),1138.74)</f>
        <v>1138.74</v>
      </c>
      <c r="J17" s="44">
        <f>IFERROR(__xludf.DUMMYFUNCTION("""COMPUTED_VALUE"""),1040.55)</f>
        <v>1040.55</v>
      </c>
      <c r="K17" s="45">
        <f>IFERROR(__xludf.DUMMYFUNCTION("""COMPUTED_VALUE"""),0.0)</f>
        <v>0</v>
      </c>
      <c r="L17" s="46" t="b">
        <v>0</v>
      </c>
      <c r="M17" s="28"/>
    </row>
    <row r="18">
      <c r="A18" s="32">
        <f>IFERROR(__xludf.DUMMYFUNCTION("""COMPUTED_VALUE"""),2.0255078E7)</f>
        <v>20255078</v>
      </c>
      <c r="B18" s="32" t="str">
        <f>IFERROR(__xludf.DUMMYFUNCTION("""COMPUTED_VALUE"""),"Ashley Deloatch")</f>
        <v>Ashley Deloatch</v>
      </c>
      <c r="C18" s="32" t="b">
        <f>IFERROR(__xludf.DUMMYFUNCTION("""COMPUTED_VALUE"""),TRUE)</f>
        <v>1</v>
      </c>
      <c r="D18" s="33" t="str">
        <f>IFERROR(__xludf.DUMMYFUNCTION("""COMPUTED_VALUE"""),"")</f>
        <v/>
      </c>
      <c r="E18" s="34">
        <f>IFERROR(__xludf.DUMMYFUNCTION("""COMPUTED_VALUE"""),0.0)</f>
        <v>0</v>
      </c>
      <c r="F18" s="34">
        <f>IFERROR(__xludf.DUMMYFUNCTION("""COMPUTED_VALUE"""),0.0)</f>
        <v>0</v>
      </c>
      <c r="G18" s="34">
        <f>IFERROR(__xludf.DUMMYFUNCTION("""COMPUTED_VALUE"""),0.0)</f>
        <v>0</v>
      </c>
      <c r="H18" s="34">
        <f>IFERROR(__xludf.DUMMYFUNCTION("""COMPUTED_VALUE"""),0.0)</f>
        <v>0</v>
      </c>
      <c r="I18" s="40">
        <f>IFERROR(__xludf.DUMMYFUNCTION("""COMPUTED_VALUE"""),0.0)</f>
        <v>0</v>
      </c>
      <c r="J18" s="40">
        <f>IFERROR(__xludf.DUMMYFUNCTION("""COMPUTED_VALUE"""),0.0)</f>
        <v>0</v>
      </c>
      <c r="K18" s="34">
        <f>IFERROR(__xludf.DUMMYFUNCTION("""COMPUTED_VALUE"""),0.0)</f>
        <v>0</v>
      </c>
      <c r="L18" s="32" t="b">
        <v>0</v>
      </c>
      <c r="M18" s="28"/>
    </row>
    <row r="19">
      <c r="A19" s="41">
        <f>IFERROR(__xludf.DUMMYFUNCTION("""COMPUTED_VALUE"""),2.0255084E7)</f>
        <v>20255084</v>
      </c>
      <c r="B19" s="41" t="str">
        <f>IFERROR(__xludf.DUMMYFUNCTION("""COMPUTED_VALUE"""),"INS - Ben Shideler")</f>
        <v>INS - Ben Shideler</v>
      </c>
      <c r="C19" s="41" t="b">
        <f>IFERROR(__xludf.DUMMYFUNCTION("""COMPUTED_VALUE"""),FALSE)</f>
        <v>0</v>
      </c>
      <c r="D19" s="42">
        <f>IFERROR(__xludf.DUMMYFUNCTION("""COMPUTED_VALUE"""),1.0)</f>
        <v>1</v>
      </c>
      <c r="E19" s="43">
        <f>IFERROR(__xludf.DUMMYFUNCTION("""COMPUTED_VALUE"""),3620.29)</f>
        <v>3620.29</v>
      </c>
      <c r="F19" s="43">
        <f>IFERROR(__xludf.DUMMYFUNCTION("""COMPUTED_VALUE"""),0.0)</f>
        <v>0</v>
      </c>
      <c r="G19" s="43">
        <f>IFERROR(__xludf.DUMMYFUNCTION("""COMPUTED_VALUE"""),826.92)</f>
        <v>826.92</v>
      </c>
      <c r="H19" s="43">
        <f>IFERROR(__xludf.DUMMYFUNCTION("""COMPUTED_VALUE"""),826.92)</f>
        <v>826.92</v>
      </c>
      <c r="I19" s="44">
        <f>IFERROR(__xludf.DUMMYFUNCTION("""COMPUTED_VALUE"""),181.0145)</f>
        <v>181.0145</v>
      </c>
      <c r="J19" s="44">
        <f>IFERROR(__xludf.DUMMYFUNCTION("""COMPUTED_VALUE"""),0.0)</f>
        <v>0</v>
      </c>
      <c r="K19" s="43">
        <f>IFERROR(__xludf.DUMMYFUNCTION("""COMPUTED_VALUE"""),0.0)</f>
        <v>0</v>
      </c>
      <c r="L19" s="46" t="b">
        <v>0</v>
      </c>
      <c r="M19" s="28"/>
    </row>
    <row r="20">
      <c r="A20" s="32">
        <f>IFERROR(__xludf.DUMMYFUNCTION("""COMPUTED_VALUE"""),2.0255089E7)</f>
        <v>20255089</v>
      </c>
      <c r="B20" s="32" t="str">
        <f>IFERROR(__xludf.DUMMYFUNCTION("""COMPUTED_VALUE"""),"Codi Santos")</f>
        <v>Codi Santos</v>
      </c>
      <c r="C20" s="33" t="b">
        <f>IFERROR(__xludf.DUMMYFUNCTION("""COMPUTED_VALUE"""),TRUE)</f>
        <v>1</v>
      </c>
      <c r="D20" s="33">
        <f>IFERROR(__xludf.DUMMYFUNCTION("""COMPUTED_VALUE"""),0.641743343900616)</f>
        <v>0.6417433439</v>
      </c>
      <c r="E20" s="34">
        <f>IFERROR(__xludf.DUMMYFUNCTION("""COMPUTED_VALUE"""),1551.96)</f>
        <v>1551.96</v>
      </c>
      <c r="F20" s="34">
        <f>IFERROR(__xludf.DUMMYFUNCTION("""COMPUTED_VALUE"""),0.0)</f>
        <v>0</v>
      </c>
      <c r="G20" s="34">
        <f>IFERROR(__xludf.DUMMYFUNCTION("""COMPUTED_VALUE"""),1551.96)</f>
        <v>1551.96</v>
      </c>
      <c r="H20" s="34">
        <f>IFERROR(__xludf.DUMMYFUNCTION("""COMPUTED_VALUE"""),1551.96)</f>
        <v>1551.96</v>
      </c>
      <c r="I20" s="40">
        <f>IFERROR(__xludf.DUMMYFUNCTION("""COMPUTED_VALUE"""),77.59800000000001)</f>
        <v>77.598</v>
      </c>
      <c r="J20" s="40">
        <f>IFERROR(__xludf.DUMMYFUNCTION("""COMPUTED_VALUE"""),77.6)</f>
        <v>77.6</v>
      </c>
      <c r="K20" s="36">
        <f>IFERROR(__xludf.DUMMYFUNCTION("""COMPUTED_VALUE"""),0.0)</f>
        <v>0</v>
      </c>
      <c r="L20" s="37" t="b">
        <v>0</v>
      </c>
      <c r="M20" s="28"/>
    </row>
    <row r="21">
      <c r="A21" s="32">
        <f>IFERROR(__xludf.DUMMYFUNCTION("""COMPUTED_VALUE"""),2.0255094E7)</f>
        <v>20255094</v>
      </c>
      <c r="B21" s="32" t="str">
        <f>IFERROR(__xludf.DUMMYFUNCTION("""COMPUTED_VALUE"""),"INS - James (Andy) Dean")</f>
        <v>INS - James (Andy) Dean</v>
      </c>
      <c r="C21" s="32" t="b">
        <f>IFERROR(__xludf.DUMMYFUNCTION("""COMPUTED_VALUE"""),TRUE)</f>
        <v>1</v>
      </c>
      <c r="D21" s="33">
        <f>IFERROR(__xludf.DUMMYFUNCTION("""COMPUTED_VALUE"""),0.5676573703197442)</f>
        <v>0.5676573703</v>
      </c>
      <c r="E21" s="34">
        <f>IFERROR(__xludf.DUMMYFUNCTION("""COMPUTED_VALUE"""),45878.52)</f>
        <v>45878.52</v>
      </c>
      <c r="F21" s="34">
        <f>IFERROR(__xludf.DUMMYFUNCTION("""COMPUTED_VALUE"""),48604.83000000001)</f>
        <v>48604.83</v>
      </c>
      <c r="G21" s="34">
        <f>IFERROR(__xludf.DUMMYFUNCTION("""COMPUTED_VALUE"""),82334.51)</f>
        <v>82334.51</v>
      </c>
      <c r="H21" s="34">
        <f>IFERROR(__xludf.DUMMYFUNCTION("""COMPUTED_VALUE"""),94483.35)</f>
        <v>94483.35</v>
      </c>
      <c r="I21" s="40">
        <f>IFERROR(__xludf.DUMMYFUNCTION("""COMPUTED_VALUE"""),4724.1675000000005)</f>
        <v>4724.1675</v>
      </c>
      <c r="J21" s="40">
        <f>IFERROR(__xludf.DUMMYFUNCTION("""COMPUTED_VALUE"""),4116.73)</f>
        <v>4116.73</v>
      </c>
      <c r="K21" s="34">
        <f>IFERROR(__xludf.DUMMYFUNCTION("""COMPUTED_VALUE"""),0.0)</f>
        <v>0</v>
      </c>
      <c r="L21" s="37" t="b">
        <v>0</v>
      </c>
      <c r="M21" s="28"/>
    </row>
    <row r="22">
      <c r="A22" s="32">
        <f>IFERROR(__xludf.DUMMYFUNCTION("""COMPUTED_VALUE"""),2.0255096E7)</f>
        <v>20255096</v>
      </c>
      <c r="B22" s="32" t="str">
        <f>IFERROR(__xludf.DUMMYFUNCTION("""COMPUTED_VALUE"""),"Keith Smart")</f>
        <v>Keith Smart</v>
      </c>
      <c r="C22" s="33" t="b">
        <f>IFERROR(__xludf.DUMMYFUNCTION("""COMPUTED_VALUE"""),TRUE)</f>
        <v>1</v>
      </c>
      <c r="D22" s="33">
        <f>IFERROR(__xludf.DUMMYFUNCTION("""COMPUTED_VALUE"""),0.7569595246121402)</f>
        <v>0.7569595246</v>
      </c>
      <c r="E22" s="34">
        <f>IFERROR(__xludf.DUMMYFUNCTION("""COMPUTED_VALUE"""),1275.59)</f>
        <v>1275.59</v>
      </c>
      <c r="F22" s="34">
        <f>IFERROR(__xludf.DUMMYFUNCTION("""COMPUTED_VALUE"""),0.0)</f>
        <v>0</v>
      </c>
      <c r="G22" s="34">
        <f>IFERROR(__xludf.DUMMYFUNCTION("""COMPUTED_VALUE"""),1275.59)</f>
        <v>1275.59</v>
      </c>
      <c r="H22" s="34">
        <f>IFERROR(__xludf.DUMMYFUNCTION("""COMPUTED_VALUE"""),1275.59)</f>
        <v>1275.59</v>
      </c>
      <c r="I22" s="40">
        <f>IFERROR(__xludf.DUMMYFUNCTION("""COMPUTED_VALUE"""),63.7795)</f>
        <v>63.7795</v>
      </c>
      <c r="J22" s="40">
        <f>IFERROR(__xludf.DUMMYFUNCTION("""COMPUTED_VALUE"""),63.78)</f>
        <v>63.78</v>
      </c>
      <c r="K22" s="36">
        <f>IFERROR(__xludf.DUMMYFUNCTION("""COMPUTED_VALUE"""),0.0)</f>
        <v>0</v>
      </c>
      <c r="L22" s="37" t="b">
        <v>0</v>
      </c>
      <c r="M22" s="28"/>
    </row>
    <row r="23">
      <c r="A23" s="32">
        <f>IFERROR(__xludf.DUMMYFUNCTION("""COMPUTED_VALUE"""),2.0255097E7)</f>
        <v>20255097</v>
      </c>
      <c r="B23" s="32" t="str">
        <f>IFERROR(__xludf.DUMMYFUNCTION("""COMPUTED_VALUE"""),"Brian Moore")</f>
        <v>Brian Moore</v>
      </c>
      <c r="C23" s="32" t="b">
        <f>IFERROR(__xludf.DUMMYFUNCTION("""COMPUTED_VALUE"""),TRUE)</f>
        <v>1</v>
      </c>
      <c r="D23" s="33">
        <f>IFERROR(__xludf.DUMMYFUNCTION("""COMPUTED_VALUE"""),0.41115638695555595)</f>
        <v>0.411156387</v>
      </c>
      <c r="E23" s="34">
        <f>IFERROR(__xludf.DUMMYFUNCTION("""COMPUTED_VALUE"""),21691.79)</f>
        <v>21691.79</v>
      </c>
      <c r="F23" s="34">
        <f>IFERROR(__xludf.DUMMYFUNCTION("""COMPUTED_VALUE"""),-895.8099999999977)</f>
        <v>-895.81</v>
      </c>
      <c r="G23" s="34">
        <f>IFERROR(__xludf.DUMMYFUNCTION("""COMPUTED_VALUE"""),20795.980000000003)</f>
        <v>20795.98</v>
      </c>
      <c r="H23" s="34">
        <f>IFERROR(__xludf.DUMMYFUNCTION("""COMPUTED_VALUE"""),20795.980000000003)</f>
        <v>20795.98</v>
      </c>
      <c r="I23" s="40">
        <f>IFERROR(__xludf.DUMMYFUNCTION("""COMPUTED_VALUE"""),1039.7990000000002)</f>
        <v>1039.799</v>
      </c>
      <c r="J23" s="40">
        <f>IFERROR(__xludf.DUMMYFUNCTION("""COMPUTED_VALUE"""),1039.8)</f>
        <v>1039.8</v>
      </c>
      <c r="K23" s="36">
        <f>IFERROR(__xludf.DUMMYFUNCTION("""COMPUTED_VALUE"""),0.0)</f>
        <v>0</v>
      </c>
      <c r="L23" s="37" t="b">
        <v>0</v>
      </c>
      <c r="M23" s="28"/>
    </row>
    <row r="24">
      <c r="A24" s="32">
        <f>IFERROR(__xludf.DUMMYFUNCTION("""COMPUTED_VALUE"""),2.0255098E7)</f>
        <v>20255098</v>
      </c>
      <c r="B24" s="32" t="str">
        <f>IFERROR(__xludf.DUMMYFUNCTION("""COMPUTED_VALUE"""),"Maria Beimly")</f>
        <v>Maria Beimly</v>
      </c>
      <c r="C24" s="33" t="b">
        <f>IFERROR(__xludf.DUMMYFUNCTION("""COMPUTED_VALUE"""),TRUE)</f>
        <v>1</v>
      </c>
      <c r="D24" s="33">
        <f>IFERROR(__xludf.DUMMYFUNCTION("""COMPUTED_VALUE"""),0.4821268544281258)</f>
        <v>0.4821268544</v>
      </c>
      <c r="E24" s="34">
        <f>IFERROR(__xludf.DUMMYFUNCTION("""COMPUTED_VALUE"""),10001.48)</f>
        <v>10001.48</v>
      </c>
      <c r="F24" s="34">
        <f>IFERROR(__xludf.DUMMYFUNCTION("""COMPUTED_VALUE"""),220.0)</f>
        <v>220</v>
      </c>
      <c r="G24" s="34">
        <f>IFERROR(__xludf.DUMMYFUNCTION("""COMPUTED_VALUE"""),10221.48)</f>
        <v>10221.48</v>
      </c>
      <c r="H24" s="34">
        <f>IFERROR(__xludf.DUMMYFUNCTION("""COMPUTED_VALUE"""),10221.48)</f>
        <v>10221.48</v>
      </c>
      <c r="I24" s="40">
        <f>IFERROR(__xludf.DUMMYFUNCTION("""COMPUTED_VALUE"""),511.074)</f>
        <v>511.074</v>
      </c>
      <c r="J24" s="40">
        <f>IFERROR(__xludf.DUMMYFUNCTION("""COMPUTED_VALUE"""),511.07)</f>
        <v>511.07</v>
      </c>
      <c r="K24" s="36">
        <f>IFERROR(__xludf.DUMMYFUNCTION("""COMPUTED_VALUE"""),0.0)</f>
        <v>0</v>
      </c>
      <c r="L24" s="37" t="b">
        <v>0</v>
      </c>
      <c r="M24" s="28"/>
    </row>
    <row r="25">
      <c r="A25" s="32">
        <f>IFERROR(__xludf.DUMMYFUNCTION("""COMPUTED_VALUE"""),2.0255104E7)</f>
        <v>20255104</v>
      </c>
      <c r="B25" s="32" t="str">
        <f>IFERROR(__xludf.DUMMYFUNCTION("""COMPUTED_VALUE"""),"Annie Lawson")</f>
        <v>Annie Lawson</v>
      </c>
      <c r="C25" s="32" t="b">
        <f>IFERROR(__xludf.DUMMYFUNCTION("""COMPUTED_VALUE"""),TRUE)</f>
        <v>1</v>
      </c>
      <c r="D25" s="33">
        <f>IFERROR(__xludf.DUMMYFUNCTION("""COMPUTED_VALUE"""),0.5218766168450754)</f>
        <v>0.5218766168</v>
      </c>
      <c r="E25" s="34">
        <f>IFERROR(__xludf.DUMMYFUNCTION("""COMPUTED_VALUE"""),6223.54)</f>
        <v>6223.54</v>
      </c>
      <c r="F25" s="34">
        <f>IFERROR(__xludf.DUMMYFUNCTION("""COMPUTED_VALUE"""),0.0)</f>
        <v>0</v>
      </c>
      <c r="G25" s="34">
        <f>IFERROR(__xludf.DUMMYFUNCTION("""COMPUTED_VALUE"""),6223.54)</f>
        <v>6223.54</v>
      </c>
      <c r="H25" s="34">
        <f>IFERROR(__xludf.DUMMYFUNCTION("""COMPUTED_VALUE"""),6223.54)</f>
        <v>6223.54</v>
      </c>
      <c r="I25" s="40">
        <f>IFERROR(__xludf.DUMMYFUNCTION("""COMPUTED_VALUE"""),311.177)</f>
        <v>311.177</v>
      </c>
      <c r="J25" s="40">
        <f>IFERROR(__xludf.DUMMYFUNCTION("""COMPUTED_VALUE"""),311.18)</f>
        <v>311.18</v>
      </c>
      <c r="K25" s="36">
        <f>IFERROR(__xludf.DUMMYFUNCTION("""COMPUTED_VALUE"""),0.0)</f>
        <v>0</v>
      </c>
      <c r="L25" s="37" t="b">
        <v>0</v>
      </c>
      <c r="M25" s="28"/>
    </row>
    <row r="26">
      <c r="A26" s="32">
        <f>IFERROR(__xludf.DUMMYFUNCTION("""COMPUTED_VALUE"""),2.0255114E7)</f>
        <v>20255114</v>
      </c>
      <c r="B26" s="32" t="str">
        <f>IFERROR(__xludf.DUMMYFUNCTION("""COMPUTED_VALUE"""),"Tom Christy")</f>
        <v>Tom Christy</v>
      </c>
      <c r="C26" s="32" t="b">
        <f>IFERROR(__xludf.DUMMYFUNCTION("""COMPUTED_VALUE"""),TRUE)</f>
        <v>1</v>
      </c>
      <c r="D26" s="33">
        <f>IFERROR(__xludf.DUMMYFUNCTION("""COMPUTED_VALUE"""),1.0)</f>
        <v>1</v>
      </c>
      <c r="E26" s="34">
        <f>IFERROR(__xludf.DUMMYFUNCTION("""COMPUTED_VALUE"""),878.98)</f>
        <v>878.98</v>
      </c>
      <c r="F26" s="34">
        <f>IFERROR(__xludf.DUMMYFUNCTION("""COMPUTED_VALUE"""),0.0)</f>
        <v>0</v>
      </c>
      <c r="G26" s="34">
        <f>IFERROR(__xludf.DUMMYFUNCTION("""COMPUTED_VALUE"""),878.98)</f>
        <v>878.98</v>
      </c>
      <c r="H26" s="34">
        <f>IFERROR(__xludf.DUMMYFUNCTION("""COMPUTED_VALUE"""),878.98)</f>
        <v>878.98</v>
      </c>
      <c r="I26" s="40">
        <f>IFERROR(__xludf.DUMMYFUNCTION("""COMPUTED_VALUE"""),43.949000000000005)</f>
        <v>43.949</v>
      </c>
      <c r="J26" s="40">
        <f>IFERROR(__xludf.DUMMYFUNCTION("""COMPUTED_VALUE"""),43.95)</f>
        <v>43.95</v>
      </c>
      <c r="K26" s="36">
        <f>IFERROR(__xludf.DUMMYFUNCTION("""COMPUTED_VALUE"""),0.0)</f>
        <v>0</v>
      </c>
      <c r="L26" s="37" t="b">
        <v>0</v>
      </c>
      <c r="M26" s="28"/>
    </row>
    <row r="27">
      <c r="A27" s="32">
        <f>IFERROR(__xludf.DUMMYFUNCTION("""COMPUTED_VALUE"""),2.0255118E7)</f>
        <v>20255118</v>
      </c>
      <c r="B27" s="32" t="str">
        <f>IFERROR(__xludf.DUMMYFUNCTION("""COMPUTED_VALUE"""),"Dustin Dietz")</f>
        <v>Dustin Dietz</v>
      </c>
      <c r="C27" s="32" t="b">
        <f>IFERROR(__xludf.DUMMYFUNCTION("""COMPUTED_VALUE"""),TRUE)</f>
        <v>1</v>
      </c>
      <c r="D27" s="33">
        <f>IFERROR(__xludf.DUMMYFUNCTION("""COMPUTED_VALUE"""),0.40593830584342916)</f>
        <v>0.4059383058</v>
      </c>
      <c r="E27" s="34">
        <f>IFERROR(__xludf.DUMMYFUNCTION("""COMPUTED_VALUE"""),19555.76)</f>
        <v>19555.76</v>
      </c>
      <c r="F27" s="34">
        <f>IFERROR(__xludf.DUMMYFUNCTION("""COMPUTED_VALUE"""),997.2400000000016)</f>
        <v>997.24</v>
      </c>
      <c r="G27" s="34">
        <f>IFERROR(__xludf.DUMMYFUNCTION("""COMPUTED_VALUE"""),20553.0)</f>
        <v>20553</v>
      </c>
      <c r="H27" s="34">
        <f>IFERROR(__xludf.DUMMYFUNCTION("""COMPUTED_VALUE"""),20553.0)</f>
        <v>20553</v>
      </c>
      <c r="I27" s="40">
        <f>IFERROR(__xludf.DUMMYFUNCTION("""COMPUTED_VALUE"""),205.53)</f>
        <v>205.53</v>
      </c>
      <c r="J27" s="40">
        <f>IFERROR(__xludf.DUMMYFUNCTION("""COMPUTED_VALUE"""),205.53)</f>
        <v>205.53</v>
      </c>
      <c r="K27" s="36">
        <f>IFERROR(__xludf.DUMMYFUNCTION("""COMPUTED_VALUE"""),0.0)</f>
        <v>0</v>
      </c>
      <c r="L27" s="37" t="b">
        <v>0</v>
      </c>
      <c r="M27" s="28"/>
    </row>
    <row r="28">
      <c r="A28" s="32">
        <f>IFERROR(__xludf.DUMMYFUNCTION("""COMPUTED_VALUE"""),2.0255127E7)</f>
        <v>20255127</v>
      </c>
      <c r="B28" s="32" t="str">
        <f>IFERROR(__xludf.DUMMYFUNCTION("""COMPUTED_VALUE"""),"Paulette Schields")</f>
        <v>Paulette Schields</v>
      </c>
      <c r="C28" s="32" t="b">
        <f>IFERROR(__xludf.DUMMYFUNCTION("""COMPUTED_VALUE"""),TRUE)</f>
        <v>1</v>
      </c>
      <c r="D28" s="33">
        <f>IFERROR(__xludf.DUMMYFUNCTION("""COMPUTED_VALUE"""),0.3983678152168349)</f>
        <v>0.3983678152</v>
      </c>
      <c r="E28" s="34">
        <f>IFERROR(__xludf.DUMMYFUNCTION("""COMPUTED_VALUE"""),5693.01)</f>
        <v>5693.01</v>
      </c>
      <c r="F28" s="34">
        <f>IFERROR(__xludf.DUMMYFUNCTION("""COMPUTED_VALUE"""),1925.0)</f>
        <v>1925</v>
      </c>
      <c r="G28" s="34">
        <f>IFERROR(__xludf.DUMMYFUNCTION("""COMPUTED_VALUE"""),7618.01)</f>
        <v>7618.01</v>
      </c>
      <c r="H28" s="34">
        <f>IFERROR(__xludf.DUMMYFUNCTION("""COMPUTED_VALUE"""),7618.01)</f>
        <v>7618.01</v>
      </c>
      <c r="I28" s="40">
        <f>IFERROR(__xludf.DUMMYFUNCTION("""COMPUTED_VALUE"""),380.9005)</f>
        <v>380.9005</v>
      </c>
      <c r="J28" s="40">
        <f>IFERROR(__xludf.DUMMYFUNCTION("""COMPUTED_VALUE"""),380.9)</f>
        <v>380.9</v>
      </c>
      <c r="K28" s="34">
        <f>IFERROR(__xludf.DUMMYFUNCTION("""COMPUTED_VALUE"""),0.0)</f>
        <v>0</v>
      </c>
      <c r="L28" s="32" t="b">
        <v>0</v>
      </c>
      <c r="M28" s="28"/>
    </row>
    <row r="29">
      <c r="A29" s="32">
        <f>IFERROR(__xludf.DUMMYFUNCTION("""COMPUTED_VALUE"""),2.0255129E7)</f>
        <v>20255129</v>
      </c>
      <c r="B29" s="32" t="str">
        <f>IFERROR(__xludf.DUMMYFUNCTION("""COMPUTED_VALUE"""),"Frank Szmulowicz")</f>
        <v>Frank Szmulowicz</v>
      </c>
      <c r="C29" s="32" t="b">
        <f>IFERROR(__xludf.DUMMYFUNCTION("""COMPUTED_VALUE"""),TRUE)</f>
        <v>1</v>
      </c>
      <c r="D29" s="39">
        <f>IFERROR(__xludf.DUMMYFUNCTION("""COMPUTED_VALUE"""),0.3087694862087954)</f>
        <v>0.3087694862</v>
      </c>
      <c r="E29" s="34">
        <f>IFERROR(__xludf.DUMMYFUNCTION("""COMPUTED_VALUE"""),19140.46)</f>
        <v>19140.46</v>
      </c>
      <c r="F29" s="34">
        <f>IFERROR(__xludf.DUMMYFUNCTION("""COMPUTED_VALUE"""),0.0)</f>
        <v>0</v>
      </c>
      <c r="G29" s="34">
        <f>IFERROR(__xludf.DUMMYFUNCTION("""COMPUTED_VALUE"""),19140.46)</f>
        <v>19140.46</v>
      </c>
      <c r="H29" s="34">
        <f>IFERROR(__xludf.DUMMYFUNCTION("""COMPUTED_VALUE"""),19140.46)</f>
        <v>19140.46</v>
      </c>
      <c r="I29" s="40">
        <f>IFERROR(__xludf.DUMMYFUNCTION("""COMPUTED_VALUE"""),191.4046)</f>
        <v>191.4046</v>
      </c>
      <c r="J29" s="40">
        <f>IFERROR(__xludf.DUMMYFUNCTION("""COMPUTED_VALUE"""),191.4)</f>
        <v>191.4</v>
      </c>
      <c r="K29" s="34">
        <f>IFERROR(__xludf.DUMMYFUNCTION("""COMPUTED_VALUE"""),0.0)</f>
        <v>0</v>
      </c>
      <c r="L29" s="37" t="b">
        <v>0</v>
      </c>
      <c r="M29" s="28"/>
    </row>
    <row r="30">
      <c r="A30" s="32">
        <f>IFERROR(__xludf.DUMMYFUNCTION("""COMPUTED_VALUE"""),2.025513E7)</f>
        <v>20255130</v>
      </c>
      <c r="B30" s="32" t="str">
        <f>IFERROR(__xludf.DUMMYFUNCTION("""COMPUTED_VALUE"""),"Josh Swihart")</f>
        <v>Josh Swihart</v>
      </c>
      <c r="C30" s="32" t="b">
        <f>IFERROR(__xludf.DUMMYFUNCTION("""COMPUTED_VALUE"""),TRUE)</f>
        <v>1</v>
      </c>
      <c r="D30" s="33">
        <f>IFERROR(__xludf.DUMMYFUNCTION("""COMPUTED_VALUE"""),1.0)</f>
        <v>1</v>
      </c>
      <c r="E30" s="34">
        <f>IFERROR(__xludf.DUMMYFUNCTION("""COMPUTED_VALUE"""),1259.78)</f>
        <v>1259.78</v>
      </c>
      <c r="F30" s="34">
        <f>IFERROR(__xludf.DUMMYFUNCTION("""COMPUTED_VALUE"""),0.0)</f>
        <v>0</v>
      </c>
      <c r="G30" s="34">
        <f>IFERROR(__xludf.DUMMYFUNCTION("""COMPUTED_VALUE"""),1259.78)</f>
        <v>1259.78</v>
      </c>
      <c r="H30" s="34">
        <f>IFERROR(__xludf.DUMMYFUNCTION("""COMPUTED_VALUE"""),1259.78)</f>
        <v>1259.78</v>
      </c>
      <c r="I30" s="40">
        <f>IFERROR(__xludf.DUMMYFUNCTION("""COMPUTED_VALUE"""),12.5978)</f>
        <v>12.5978</v>
      </c>
      <c r="J30" s="40">
        <f>IFERROR(__xludf.DUMMYFUNCTION("""COMPUTED_VALUE"""),12.6)</f>
        <v>12.6</v>
      </c>
      <c r="K30" s="36">
        <f>IFERROR(__xludf.DUMMYFUNCTION("""COMPUTED_VALUE"""),0.0)</f>
        <v>0</v>
      </c>
      <c r="L30" s="37" t="b">
        <v>0</v>
      </c>
      <c r="M30" s="28"/>
    </row>
    <row r="31">
      <c r="A31" s="32">
        <f>IFERROR(__xludf.DUMMYFUNCTION("""COMPUTED_VALUE"""),2.0255132E7)</f>
        <v>20255132</v>
      </c>
      <c r="B31" s="32" t="str">
        <f>IFERROR(__xludf.DUMMYFUNCTION("""COMPUTED_VALUE"""),"Trevor Lowe")</f>
        <v>Trevor Lowe</v>
      </c>
      <c r="C31" s="32" t="b">
        <f>IFERROR(__xludf.DUMMYFUNCTION("""COMPUTED_VALUE"""),TRUE)</f>
        <v>1</v>
      </c>
      <c r="D31" s="33">
        <f>IFERROR(__xludf.DUMMYFUNCTION("""COMPUTED_VALUE"""),0.3513049739380879)</f>
        <v>0.3513049739</v>
      </c>
      <c r="E31" s="34">
        <f>IFERROR(__xludf.DUMMYFUNCTION("""COMPUTED_VALUE"""),48090.32)</f>
        <v>48090.32</v>
      </c>
      <c r="F31" s="34">
        <f>IFERROR(__xludf.DUMMYFUNCTION("""COMPUTED_VALUE"""),-175.5699999999997)</f>
        <v>-175.57</v>
      </c>
      <c r="G31" s="34">
        <f>IFERROR(__xludf.DUMMYFUNCTION("""COMPUTED_VALUE"""),47914.75)</f>
        <v>47914.75</v>
      </c>
      <c r="H31" s="34">
        <f>IFERROR(__xludf.DUMMYFUNCTION("""COMPUTED_VALUE"""),47914.75)</f>
        <v>47914.75</v>
      </c>
      <c r="I31" s="40">
        <f>IFERROR(__xludf.DUMMYFUNCTION("""COMPUTED_VALUE"""),2395.7375)</f>
        <v>2395.7375</v>
      </c>
      <c r="J31" s="40">
        <f>IFERROR(__xludf.DUMMYFUNCTION("""COMPUTED_VALUE"""),2395.74)</f>
        <v>2395.74</v>
      </c>
      <c r="K31" s="34">
        <f>IFERROR(__xludf.DUMMYFUNCTION("""COMPUTED_VALUE"""),0.0)</f>
        <v>0</v>
      </c>
      <c r="L31" s="37" t="b">
        <v>0</v>
      </c>
      <c r="M31" s="28"/>
    </row>
    <row r="32">
      <c r="A32" s="41">
        <f>IFERROR(__xludf.DUMMYFUNCTION("""COMPUTED_VALUE"""),2.0255134E7)</f>
        <v>20255134</v>
      </c>
      <c r="B32" s="41" t="str">
        <f>IFERROR(__xludf.DUMMYFUNCTION("""COMPUTED_VALUE"""),"INS - Gary Toczylowski")</f>
        <v>INS - Gary Toczylowski</v>
      </c>
      <c r="C32" s="42" t="b">
        <f>IFERROR(__xludf.DUMMYFUNCTION("""COMPUTED_VALUE"""),FALSE)</f>
        <v>0</v>
      </c>
      <c r="D32" s="42" t="str">
        <f>IFERROR(__xludf.DUMMYFUNCTION("""COMPUTED_VALUE"""),"")</f>
        <v/>
      </c>
      <c r="E32" s="43">
        <f>IFERROR(__xludf.DUMMYFUNCTION("""COMPUTED_VALUE"""),6921.11)</f>
        <v>6921.11</v>
      </c>
      <c r="F32" s="43">
        <f>IFERROR(__xludf.DUMMYFUNCTION("""COMPUTED_VALUE"""),0.0)</f>
        <v>0</v>
      </c>
      <c r="G32" s="43">
        <f>IFERROR(__xludf.DUMMYFUNCTION("""COMPUTED_VALUE"""),0.0)</f>
        <v>0</v>
      </c>
      <c r="H32" s="43">
        <f>IFERROR(__xludf.DUMMYFUNCTION("""COMPUTED_VALUE"""),0.0)</f>
        <v>0</v>
      </c>
      <c r="I32" s="44">
        <f>IFERROR(__xludf.DUMMYFUNCTION("""COMPUTED_VALUE"""),346.0555)</f>
        <v>346.0555</v>
      </c>
      <c r="J32" s="44">
        <f>IFERROR(__xludf.DUMMYFUNCTION("""COMPUTED_VALUE"""),0.0)</f>
        <v>0</v>
      </c>
      <c r="K32" s="43">
        <f>IFERROR(__xludf.DUMMYFUNCTION("""COMPUTED_VALUE"""),0.0)</f>
        <v>0</v>
      </c>
      <c r="L32" s="41" t="b">
        <v>0</v>
      </c>
      <c r="M32" s="28"/>
    </row>
    <row r="33">
      <c r="A33" s="32">
        <f>IFERROR(__xludf.DUMMYFUNCTION("""COMPUTED_VALUE"""),2.0255141E7)</f>
        <v>20255141</v>
      </c>
      <c r="B33" s="32" t="str">
        <f>IFERROR(__xludf.DUMMYFUNCTION("""COMPUTED_VALUE"""),"Shawn Ella Isaac")</f>
        <v>Shawn Ella Isaac</v>
      </c>
      <c r="C33" s="32" t="b">
        <f>IFERROR(__xludf.DUMMYFUNCTION("""COMPUTED_VALUE"""),TRUE)</f>
        <v>1</v>
      </c>
      <c r="D33" s="33">
        <f>IFERROR(__xludf.DUMMYFUNCTION("""COMPUTED_VALUE"""),0.5629224928234096)</f>
        <v>0.5629224928</v>
      </c>
      <c r="E33" s="34">
        <f>IFERROR(__xludf.DUMMYFUNCTION("""COMPUTED_VALUE"""),1511.86)</f>
        <v>1511.86</v>
      </c>
      <c r="F33" s="34">
        <f>IFERROR(__xludf.DUMMYFUNCTION("""COMPUTED_VALUE"""),0.0)</f>
        <v>0</v>
      </c>
      <c r="G33" s="34">
        <f>IFERROR(__xludf.DUMMYFUNCTION("""COMPUTED_VALUE"""),1511.86)</f>
        <v>1511.86</v>
      </c>
      <c r="H33" s="34">
        <f>IFERROR(__xludf.DUMMYFUNCTION("""COMPUTED_VALUE"""),1511.86)</f>
        <v>1511.86</v>
      </c>
      <c r="I33" s="40">
        <f>IFERROR(__xludf.DUMMYFUNCTION("""COMPUTED_VALUE"""),75.593)</f>
        <v>75.593</v>
      </c>
      <c r="J33" s="40">
        <f>IFERROR(__xludf.DUMMYFUNCTION("""COMPUTED_VALUE"""),75.59)</f>
        <v>75.59</v>
      </c>
      <c r="K33" s="34">
        <f>IFERROR(__xludf.DUMMYFUNCTION("""COMPUTED_VALUE"""),0.0)</f>
        <v>0</v>
      </c>
      <c r="L33" s="32" t="b">
        <v>0</v>
      </c>
      <c r="M33" s="28"/>
    </row>
    <row r="34">
      <c r="A34" s="32">
        <f>IFERROR(__xludf.DUMMYFUNCTION("""COMPUTED_VALUE"""),2.0255142E7)</f>
        <v>20255142</v>
      </c>
      <c r="B34" s="32" t="str">
        <f>IFERROR(__xludf.DUMMYFUNCTION("""COMPUTED_VALUE"""),"Brett Schilling")</f>
        <v>Brett Schilling</v>
      </c>
      <c r="C34" s="32" t="b">
        <f>IFERROR(__xludf.DUMMYFUNCTION("""COMPUTED_VALUE"""),TRUE)</f>
        <v>1</v>
      </c>
      <c r="D34" s="33">
        <f>IFERROR(__xludf.DUMMYFUNCTION("""COMPUTED_VALUE"""),0.5)</f>
        <v>0.5</v>
      </c>
      <c r="E34" s="34">
        <f>IFERROR(__xludf.DUMMYFUNCTION("""COMPUTED_VALUE"""),500.0)</f>
        <v>500</v>
      </c>
      <c r="F34" s="34">
        <f>IFERROR(__xludf.DUMMYFUNCTION("""COMPUTED_VALUE"""),0.0)</f>
        <v>0</v>
      </c>
      <c r="G34" s="34">
        <f>IFERROR(__xludf.DUMMYFUNCTION("""COMPUTED_VALUE"""),500.0)</f>
        <v>500</v>
      </c>
      <c r="H34" s="34">
        <f>IFERROR(__xludf.DUMMYFUNCTION("""COMPUTED_VALUE"""),500.0)</f>
        <v>500</v>
      </c>
      <c r="I34" s="40">
        <f>IFERROR(__xludf.DUMMYFUNCTION("""COMPUTED_VALUE"""),5.0)</f>
        <v>5</v>
      </c>
      <c r="J34" s="40">
        <f>IFERROR(__xludf.DUMMYFUNCTION("""COMPUTED_VALUE"""),0.0)</f>
        <v>0</v>
      </c>
      <c r="K34" s="34">
        <f>IFERROR(__xludf.DUMMYFUNCTION("""COMPUTED_VALUE"""),0.0)</f>
        <v>0</v>
      </c>
      <c r="L34" s="37" t="b">
        <v>0</v>
      </c>
      <c r="M34" s="28"/>
    </row>
    <row r="35">
      <c r="A35" s="32">
        <f>IFERROR(__xludf.DUMMYFUNCTION("""COMPUTED_VALUE"""),2.0255147E7)</f>
        <v>20255147</v>
      </c>
      <c r="B35" s="32" t="str">
        <f>IFERROR(__xludf.DUMMYFUNCTION("""COMPUTED_VALUE"""),"INS - Michael Phillips")</f>
        <v>INS - Michael Phillips</v>
      </c>
      <c r="C35" s="32" t="b">
        <f>IFERROR(__xludf.DUMMYFUNCTION("""COMPUTED_VALUE"""),TRUE)</f>
        <v>1</v>
      </c>
      <c r="D35" s="33">
        <f>IFERROR(__xludf.DUMMYFUNCTION("""COMPUTED_VALUE"""),0.5936404695146267)</f>
        <v>0.5936404695</v>
      </c>
      <c r="E35" s="34">
        <f>IFERROR(__xludf.DUMMYFUNCTION("""COMPUTED_VALUE"""),9530.58)</f>
        <v>9530.58</v>
      </c>
      <c r="F35" s="34">
        <f>IFERROR(__xludf.DUMMYFUNCTION("""COMPUTED_VALUE"""),6643.57)</f>
        <v>6643.57</v>
      </c>
      <c r="G35" s="34">
        <f>IFERROR(__xludf.DUMMYFUNCTION("""COMPUTED_VALUE"""),11084.13)</f>
        <v>11084.13</v>
      </c>
      <c r="H35" s="34">
        <f>IFERROR(__xludf.DUMMYFUNCTION("""COMPUTED_VALUE"""),16174.15)</f>
        <v>16174.15</v>
      </c>
      <c r="I35" s="40">
        <f>IFERROR(__xludf.DUMMYFUNCTION("""COMPUTED_VALUE"""),808.7075)</f>
        <v>808.7075</v>
      </c>
      <c r="J35" s="40">
        <f>IFERROR(__xludf.DUMMYFUNCTION("""COMPUTED_VALUE"""),592.21)</f>
        <v>592.21</v>
      </c>
      <c r="K35" s="36">
        <f>IFERROR(__xludf.DUMMYFUNCTION("""COMPUTED_VALUE"""),0.0)</f>
        <v>0</v>
      </c>
      <c r="L35" s="37" t="b">
        <v>0</v>
      </c>
      <c r="M35" s="28"/>
    </row>
    <row r="36">
      <c r="A36" s="32">
        <f>IFERROR(__xludf.DUMMYFUNCTION("""COMPUTED_VALUE"""),2.025515E7)</f>
        <v>20255150</v>
      </c>
      <c r="B36" s="32" t="str">
        <f>IFERROR(__xludf.DUMMYFUNCTION("""COMPUTED_VALUE"""),"Brittany Fuls")</f>
        <v>Brittany Fuls</v>
      </c>
      <c r="C36" s="32" t="b">
        <f>IFERROR(__xludf.DUMMYFUNCTION("""COMPUTED_VALUE"""),TRUE)</f>
        <v>1</v>
      </c>
      <c r="D36" s="39">
        <f>IFERROR(__xludf.DUMMYFUNCTION("""COMPUTED_VALUE"""),0.1491898582643581)</f>
        <v>0.1491898583</v>
      </c>
      <c r="E36" s="34">
        <f>IFERROR(__xludf.DUMMYFUNCTION("""COMPUTED_VALUE"""),18193.73)</f>
        <v>18193.73</v>
      </c>
      <c r="F36" s="34">
        <f>IFERROR(__xludf.DUMMYFUNCTION("""COMPUTED_VALUE"""),0.0)</f>
        <v>0</v>
      </c>
      <c r="G36" s="34">
        <f>IFERROR(__xludf.DUMMYFUNCTION("""COMPUTED_VALUE"""),18193.73)</f>
        <v>18193.73</v>
      </c>
      <c r="H36" s="34">
        <f>IFERROR(__xludf.DUMMYFUNCTION("""COMPUTED_VALUE"""),18193.73)</f>
        <v>18193.73</v>
      </c>
      <c r="I36" s="40">
        <f>IFERROR(__xludf.DUMMYFUNCTION("""COMPUTED_VALUE"""),909.6865)</f>
        <v>909.6865</v>
      </c>
      <c r="J36" s="40">
        <f>IFERROR(__xludf.DUMMYFUNCTION("""COMPUTED_VALUE"""),909.69)</f>
        <v>909.69</v>
      </c>
      <c r="K36" s="34">
        <f>IFERROR(__xludf.DUMMYFUNCTION("""COMPUTED_VALUE"""),0.0)</f>
        <v>0</v>
      </c>
      <c r="L36" s="37" t="b">
        <v>0</v>
      </c>
      <c r="M36" s="38"/>
    </row>
    <row r="37">
      <c r="A37" s="32">
        <f>IFERROR(__xludf.DUMMYFUNCTION("""COMPUTED_VALUE"""),2.0255154E7)</f>
        <v>20255154</v>
      </c>
      <c r="B37" s="32" t="str">
        <f>IFERROR(__xludf.DUMMYFUNCTION("""COMPUTED_VALUE"""),"Jill Bachelder")</f>
        <v>Jill Bachelder</v>
      </c>
      <c r="C37" s="32" t="b">
        <f>IFERROR(__xludf.DUMMYFUNCTION("""COMPUTED_VALUE"""),TRUE)</f>
        <v>1</v>
      </c>
      <c r="D37" s="33">
        <f>IFERROR(__xludf.DUMMYFUNCTION("""COMPUTED_VALUE"""),0.45624224944571795)</f>
        <v>0.4562422494</v>
      </c>
      <c r="E37" s="34">
        <f>IFERROR(__xludf.DUMMYFUNCTION("""COMPUTED_VALUE"""),16931.23)</f>
        <v>16931.23</v>
      </c>
      <c r="F37" s="34">
        <f>IFERROR(__xludf.DUMMYFUNCTION("""COMPUTED_VALUE"""),99.81000000000131)</f>
        <v>99.81</v>
      </c>
      <c r="G37" s="34">
        <f>IFERROR(__xludf.DUMMYFUNCTION("""COMPUTED_VALUE"""),17031.04)</f>
        <v>17031.04</v>
      </c>
      <c r="H37" s="34">
        <f>IFERROR(__xludf.DUMMYFUNCTION("""COMPUTED_VALUE"""),17031.04)</f>
        <v>17031.04</v>
      </c>
      <c r="I37" s="40">
        <f>IFERROR(__xludf.DUMMYFUNCTION("""COMPUTED_VALUE"""),851.5520000000001)</f>
        <v>851.552</v>
      </c>
      <c r="J37" s="40">
        <f>IFERROR(__xludf.DUMMYFUNCTION("""COMPUTED_VALUE"""),851.55)</f>
        <v>851.55</v>
      </c>
      <c r="K37" s="34">
        <f>IFERROR(__xludf.DUMMYFUNCTION("""COMPUTED_VALUE"""),0.0)</f>
        <v>0</v>
      </c>
      <c r="L37" s="37" t="b">
        <v>0</v>
      </c>
      <c r="M37" s="28"/>
    </row>
    <row r="38">
      <c r="A38" s="32">
        <f>IFERROR(__xludf.DUMMYFUNCTION("""COMPUTED_VALUE"""),2.0255158E7)</f>
        <v>20255158</v>
      </c>
      <c r="B38" s="32" t="str">
        <f>IFERROR(__xludf.DUMMYFUNCTION("""COMPUTED_VALUE"""),"Richard Deitering")</f>
        <v>Richard Deitering</v>
      </c>
      <c r="C38" s="32" t="b">
        <f>IFERROR(__xludf.DUMMYFUNCTION("""COMPUTED_VALUE"""),TRUE)</f>
        <v>1</v>
      </c>
      <c r="D38" s="39">
        <f>IFERROR(__xludf.DUMMYFUNCTION("""COMPUTED_VALUE"""),0.19999735767792737)</f>
        <v>0.1999973577</v>
      </c>
      <c r="E38" s="34">
        <f>IFERROR(__xludf.DUMMYFUNCTION("""COMPUTED_VALUE"""),756.91)</f>
        <v>756.91</v>
      </c>
      <c r="F38" s="34">
        <f>IFERROR(__xludf.DUMMYFUNCTION("""COMPUTED_VALUE"""),0.0)</f>
        <v>0</v>
      </c>
      <c r="G38" s="34">
        <f>IFERROR(__xludf.DUMMYFUNCTION("""COMPUTED_VALUE"""),756.91)</f>
        <v>756.91</v>
      </c>
      <c r="H38" s="34">
        <f>IFERROR(__xludf.DUMMYFUNCTION("""COMPUTED_VALUE"""),756.91)</f>
        <v>756.91</v>
      </c>
      <c r="I38" s="40">
        <f>IFERROR(__xludf.DUMMYFUNCTION("""COMPUTED_VALUE"""),7.5691)</f>
        <v>7.5691</v>
      </c>
      <c r="J38" s="40">
        <f>IFERROR(__xludf.DUMMYFUNCTION("""COMPUTED_VALUE"""),0.0)</f>
        <v>0</v>
      </c>
      <c r="K38" s="36">
        <f>IFERROR(__xludf.DUMMYFUNCTION("""COMPUTED_VALUE"""),0.0)</f>
        <v>0</v>
      </c>
      <c r="L38" s="37" t="b">
        <v>0</v>
      </c>
      <c r="M38" s="28"/>
    </row>
    <row r="39">
      <c r="A39" s="32">
        <f>IFERROR(__xludf.DUMMYFUNCTION("""COMPUTED_VALUE"""),2.0255159E7)</f>
        <v>20255159</v>
      </c>
      <c r="B39" s="32" t="str">
        <f>IFERROR(__xludf.DUMMYFUNCTION("""COMPUTED_VALUE"""),"Vicki Jones")</f>
        <v>Vicki Jones</v>
      </c>
      <c r="C39" s="32" t="b">
        <f>IFERROR(__xludf.DUMMYFUNCTION("""COMPUTED_VALUE"""),TRUE)</f>
        <v>1</v>
      </c>
      <c r="D39" s="33">
        <f>IFERROR(__xludf.DUMMYFUNCTION("""COMPUTED_VALUE"""),0.40082324094424004)</f>
        <v>0.4008232409</v>
      </c>
      <c r="E39" s="34">
        <f>IFERROR(__xludf.DUMMYFUNCTION("""COMPUTED_VALUE"""),9127.34)</f>
        <v>9127.34</v>
      </c>
      <c r="F39" s="34">
        <f>IFERROR(__xludf.DUMMYFUNCTION("""COMPUTED_VALUE"""),0.0)</f>
        <v>0</v>
      </c>
      <c r="G39" s="34">
        <f>IFERROR(__xludf.DUMMYFUNCTION("""COMPUTED_VALUE"""),9127.34)</f>
        <v>9127.34</v>
      </c>
      <c r="H39" s="34">
        <f>IFERROR(__xludf.DUMMYFUNCTION("""COMPUTED_VALUE"""),9127.34)</f>
        <v>9127.34</v>
      </c>
      <c r="I39" s="40">
        <f>IFERROR(__xludf.DUMMYFUNCTION("""COMPUTED_VALUE"""),91.27340000000001)</f>
        <v>91.2734</v>
      </c>
      <c r="J39" s="40">
        <f>IFERROR(__xludf.DUMMYFUNCTION("""COMPUTED_VALUE"""),0.0)</f>
        <v>0</v>
      </c>
      <c r="K39" s="34">
        <f>IFERROR(__xludf.DUMMYFUNCTION("""COMPUTED_VALUE"""),0.0)</f>
        <v>0</v>
      </c>
      <c r="L39" s="37" t="b">
        <v>0</v>
      </c>
      <c r="M39" s="28"/>
    </row>
    <row r="40">
      <c r="A40" s="32">
        <f>IFERROR(__xludf.DUMMYFUNCTION("""COMPUTED_VALUE"""),2.0255161E7)</f>
        <v>20255161</v>
      </c>
      <c r="B40" s="32" t="str">
        <f>IFERROR(__xludf.DUMMYFUNCTION("""COMPUTED_VALUE"""),"Sarah Bills")</f>
        <v>Sarah Bills</v>
      </c>
      <c r="C40" s="32" t="b">
        <f>IFERROR(__xludf.DUMMYFUNCTION("""COMPUTED_VALUE"""),TRUE)</f>
        <v>1</v>
      </c>
      <c r="D40" s="33">
        <f>IFERROR(__xludf.DUMMYFUNCTION("""COMPUTED_VALUE"""),0.3991911988360886)</f>
        <v>0.3991911988</v>
      </c>
      <c r="E40" s="34">
        <f>IFERROR(__xludf.DUMMYFUNCTION("""COMPUTED_VALUE"""),9630.92)</f>
        <v>9630.92</v>
      </c>
      <c r="F40" s="34">
        <f>IFERROR(__xludf.DUMMYFUNCTION("""COMPUTED_VALUE"""),1284.0)</f>
        <v>1284</v>
      </c>
      <c r="G40" s="34">
        <f>IFERROR(__xludf.DUMMYFUNCTION("""COMPUTED_VALUE"""),10914.92)</f>
        <v>10914.92</v>
      </c>
      <c r="H40" s="34">
        <f>IFERROR(__xludf.DUMMYFUNCTION("""COMPUTED_VALUE"""),10914.92)</f>
        <v>10914.92</v>
      </c>
      <c r="I40" s="40">
        <f>IFERROR(__xludf.DUMMYFUNCTION("""COMPUTED_VALUE"""),545.746)</f>
        <v>545.746</v>
      </c>
      <c r="J40" s="40">
        <f>IFERROR(__xludf.DUMMYFUNCTION("""COMPUTED_VALUE"""),545.75)</f>
        <v>545.75</v>
      </c>
      <c r="K40" s="34">
        <f>IFERROR(__xludf.DUMMYFUNCTION("""COMPUTED_VALUE"""),0.0)</f>
        <v>0</v>
      </c>
      <c r="L40" s="37" t="b">
        <v>0</v>
      </c>
      <c r="M40" s="28"/>
    </row>
    <row r="41">
      <c r="A41" s="32">
        <f>IFERROR(__xludf.DUMMYFUNCTION("""COMPUTED_VALUE"""),2.0255162E7)</f>
        <v>20255162</v>
      </c>
      <c r="B41" s="32" t="str">
        <f>IFERROR(__xludf.DUMMYFUNCTION("""COMPUTED_VALUE"""),"Ryan Chatterton And Danielle Kelley")</f>
        <v>Ryan Chatterton And Danielle Kelley</v>
      </c>
      <c r="C41" s="32" t="b">
        <f>IFERROR(__xludf.DUMMYFUNCTION("""COMPUTED_VALUE"""),TRUE)</f>
        <v>1</v>
      </c>
      <c r="D41" s="33">
        <f>IFERROR(__xludf.DUMMYFUNCTION("""COMPUTED_VALUE"""),0.5886514297021866)</f>
        <v>0.5886514297</v>
      </c>
      <c r="E41" s="34">
        <f>IFERROR(__xludf.DUMMYFUNCTION("""COMPUTED_VALUE"""),606.42)</f>
        <v>606.42</v>
      </c>
      <c r="F41" s="34">
        <f>IFERROR(__xludf.DUMMYFUNCTION("""COMPUTED_VALUE"""),0.0)</f>
        <v>0</v>
      </c>
      <c r="G41" s="34">
        <f>IFERROR(__xludf.DUMMYFUNCTION("""COMPUTED_VALUE"""),606.42)</f>
        <v>606.42</v>
      </c>
      <c r="H41" s="34">
        <f>IFERROR(__xludf.DUMMYFUNCTION("""COMPUTED_VALUE"""),606.42)</f>
        <v>606.42</v>
      </c>
      <c r="I41" s="40">
        <f>IFERROR(__xludf.DUMMYFUNCTION("""COMPUTED_VALUE"""),6.0642)</f>
        <v>6.0642</v>
      </c>
      <c r="J41" s="40">
        <f>IFERROR(__xludf.DUMMYFUNCTION("""COMPUTED_VALUE"""),6.06)</f>
        <v>6.06</v>
      </c>
      <c r="K41" s="34">
        <f>IFERROR(__xludf.DUMMYFUNCTION("""COMPUTED_VALUE"""),0.0)</f>
        <v>0</v>
      </c>
      <c r="L41" s="32" t="b">
        <v>0</v>
      </c>
      <c r="M41" s="28"/>
    </row>
    <row r="42">
      <c r="A42" s="32">
        <f>IFERROR(__xludf.DUMMYFUNCTION("""COMPUTED_VALUE"""),2.0255163E7)</f>
        <v>20255163</v>
      </c>
      <c r="B42" s="32" t="str">
        <f>IFERROR(__xludf.DUMMYFUNCTION("""COMPUTED_VALUE"""),"Jason Poling")</f>
        <v>Jason Poling</v>
      </c>
      <c r="C42" s="32" t="b">
        <f>IFERROR(__xludf.DUMMYFUNCTION("""COMPUTED_VALUE"""),TRUE)</f>
        <v>1</v>
      </c>
      <c r="D42" s="39">
        <f>IFERROR(__xludf.DUMMYFUNCTION("""COMPUTED_VALUE"""),0.2155112107623318)</f>
        <v>0.2155112108</v>
      </c>
      <c r="E42" s="34">
        <f>IFERROR(__xludf.DUMMYFUNCTION("""COMPUTED_VALUE"""),2980.0)</f>
        <v>2980</v>
      </c>
      <c r="F42" s="34">
        <f>IFERROR(__xludf.DUMMYFUNCTION("""COMPUTED_VALUE"""),-750.0)</f>
        <v>-750</v>
      </c>
      <c r="G42" s="34">
        <f>IFERROR(__xludf.DUMMYFUNCTION("""COMPUTED_VALUE"""),2230.0)</f>
        <v>2230</v>
      </c>
      <c r="H42" s="34">
        <f>IFERROR(__xludf.DUMMYFUNCTION("""COMPUTED_VALUE"""),2230.0)</f>
        <v>2230</v>
      </c>
      <c r="I42" s="40">
        <f>IFERROR(__xludf.DUMMYFUNCTION("""COMPUTED_VALUE"""),22.3)</f>
        <v>22.3</v>
      </c>
      <c r="J42" s="40">
        <f>IFERROR(__xludf.DUMMYFUNCTION("""COMPUTED_VALUE"""),22.3)</f>
        <v>22.3</v>
      </c>
      <c r="K42" s="34">
        <f>IFERROR(__xludf.DUMMYFUNCTION("""COMPUTED_VALUE"""),0.0)</f>
        <v>0</v>
      </c>
      <c r="L42" s="37" t="b">
        <v>0</v>
      </c>
      <c r="M42" s="28"/>
    </row>
    <row r="43">
      <c r="A43" s="32">
        <f>IFERROR(__xludf.DUMMYFUNCTION("""COMPUTED_VALUE"""),2.0255164E7)</f>
        <v>20255164</v>
      </c>
      <c r="B43" s="32" t="str">
        <f>IFERROR(__xludf.DUMMYFUNCTION("""COMPUTED_VALUE"""),"Deb Puckett")</f>
        <v>Deb Puckett</v>
      </c>
      <c r="C43" s="32" t="b">
        <f>IFERROR(__xludf.DUMMYFUNCTION("""COMPUTED_VALUE"""),TRUE)</f>
        <v>1</v>
      </c>
      <c r="D43" s="39">
        <f>IFERROR(__xludf.DUMMYFUNCTION("""COMPUTED_VALUE"""),0.2632007106221959)</f>
        <v>0.2632007106</v>
      </c>
      <c r="E43" s="34">
        <f>IFERROR(__xludf.DUMMYFUNCTION("""COMPUTED_VALUE"""),19761.2)</f>
        <v>19761.2</v>
      </c>
      <c r="F43" s="34">
        <f>IFERROR(__xludf.DUMMYFUNCTION("""COMPUTED_VALUE"""),165.0)</f>
        <v>165</v>
      </c>
      <c r="G43" s="34">
        <f>IFERROR(__xludf.DUMMYFUNCTION("""COMPUTED_VALUE"""),19926.2)</f>
        <v>19926.2</v>
      </c>
      <c r="H43" s="34">
        <f>IFERROR(__xludf.DUMMYFUNCTION("""COMPUTED_VALUE"""),19926.2)</f>
        <v>19926.2</v>
      </c>
      <c r="I43" s="40">
        <f>IFERROR(__xludf.DUMMYFUNCTION("""COMPUTED_VALUE"""),996.3100000000001)</f>
        <v>996.31</v>
      </c>
      <c r="J43" s="40">
        <f>IFERROR(__xludf.DUMMYFUNCTION("""COMPUTED_VALUE"""),0.0)</f>
        <v>0</v>
      </c>
      <c r="K43" s="34">
        <f>IFERROR(__xludf.DUMMYFUNCTION("""COMPUTED_VALUE"""),0.0)</f>
        <v>0</v>
      </c>
      <c r="L43" s="37" t="b">
        <v>0</v>
      </c>
      <c r="M43" s="38" t="s">
        <v>150</v>
      </c>
    </row>
    <row r="44">
      <c r="A44" s="32">
        <f>IFERROR(__xludf.DUMMYFUNCTION("""COMPUTED_VALUE"""),2.0255169E7)</f>
        <v>20255169</v>
      </c>
      <c r="B44" s="32" t="str">
        <f>IFERROR(__xludf.DUMMYFUNCTION("""COMPUTED_VALUE"""),"Jennifer Colwell")</f>
        <v>Jennifer Colwell</v>
      </c>
      <c r="C44" s="32" t="b">
        <f>IFERROR(__xludf.DUMMYFUNCTION("""COMPUTED_VALUE"""),TRUE)</f>
        <v>1</v>
      </c>
      <c r="D44" s="33">
        <f>IFERROR(__xludf.DUMMYFUNCTION("""COMPUTED_VALUE"""),0.4625782182034488)</f>
        <v>0.4625782182</v>
      </c>
      <c r="E44" s="34">
        <f>IFERROR(__xludf.DUMMYFUNCTION("""COMPUTED_VALUE"""),6018.42)</f>
        <v>6018.42</v>
      </c>
      <c r="F44" s="34">
        <f>IFERROR(__xludf.DUMMYFUNCTION("""COMPUTED_VALUE"""),0.0)</f>
        <v>0</v>
      </c>
      <c r="G44" s="34">
        <f>IFERROR(__xludf.DUMMYFUNCTION("""COMPUTED_VALUE"""),6018.42)</f>
        <v>6018.42</v>
      </c>
      <c r="H44" s="34">
        <f>IFERROR(__xludf.DUMMYFUNCTION("""COMPUTED_VALUE"""),6018.42)</f>
        <v>6018.42</v>
      </c>
      <c r="I44" s="40">
        <f>IFERROR(__xludf.DUMMYFUNCTION("""COMPUTED_VALUE"""),60.184200000000004)</f>
        <v>60.1842</v>
      </c>
      <c r="J44" s="40">
        <f>IFERROR(__xludf.DUMMYFUNCTION("""COMPUTED_VALUE"""),0.0)</f>
        <v>0</v>
      </c>
      <c r="K44" s="34">
        <f>IFERROR(__xludf.DUMMYFUNCTION("""COMPUTED_VALUE"""),0.0)</f>
        <v>0</v>
      </c>
      <c r="L44" s="37" t="b">
        <v>0</v>
      </c>
      <c r="M44" s="28"/>
    </row>
    <row r="45">
      <c r="A45" s="32">
        <f>IFERROR(__xludf.DUMMYFUNCTION("""COMPUTED_VALUE"""),2.025517E7)</f>
        <v>20255170</v>
      </c>
      <c r="B45" s="32" t="str">
        <f>IFERROR(__xludf.DUMMYFUNCTION("""COMPUTED_VALUE"""),"Shannon Campbell")</f>
        <v>Shannon Campbell</v>
      </c>
      <c r="C45" s="32" t="b">
        <f>IFERROR(__xludf.DUMMYFUNCTION("""COMPUTED_VALUE"""),TRUE)</f>
        <v>1</v>
      </c>
      <c r="D45" s="33">
        <f>IFERROR(__xludf.DUMMYFUNCTION("""COMPUTED_VALUE"""),0.366262387112205)</f>
        <v>0.3662623871</v>
      </c>
      <c r="E45" s="34">
        <f>IFERROR(__xludf.DUMMYFUNCTION("""COMPUTED_VALUE"""),50631.85)</f>
        <v>50631.85</v>
      </c>
      <c r="F45" s="34">
        <f>IFERROR(__xludf.DUMMYFUNCTION("""COMPUTED_VALUE"""),18814.32)</f>
        <v>18814.32</v>
      </c>
      <c r="G45" s="34">
        <f>IFERROR(__xludf.DUMMYFUNCTION("""COMPUTED_VALUE"""),27355.69)</f>
        <v>27355.69</v>
      </c>
      <c r="H45" s="34">
        <f>IFERROR(__xludf.DUMMYFUNCTION("""COMPUTED_VALUE"""),69446.17)</f>
        <v>69446.17</v>
      </c>
      <c r="I45" s="40">
        <f>IFERROR(__xludf.DUMMYFUNCTION("""COMPUTED_VALUE"""),3472.3085)</f>
        <v>3472.3085</v>
      </c>
      <c r="J45" s="40">
        <f>IFERROR(__xludf.DUMMYFUNCTION("""COMPUTED_VALUE"""),1367.78)</f>
        <v>1367.78</v>
      </c>
      <c r="K45" s="34">
        <f>IFERROR(__xludf.DUMMYFUNCTION("""COMPUTED_VALUE"""),0.0)</f>
        <v>0</v>
      </c>
      <c r="L45" s="37" t="b">
        <v>0</v>
      </c>
      <c r="M45" s="28"/>
    </row>
    <row r="46">
      <c r="A46" s="41">
        <f>IFERROR(__xludf.DUMMYFUNCTION("""COMPUTED_VALUE"""),2.0255172E7)</f>
        <v>20255172</v>
      </c>
      <c r="B46" s="41" t="str">
        <f>IFERROR(__xludf.DUMMYFUNCTION("""COMPUTED_VALUE"""),"Douglas Swartz")</f>
        <v>Douglas Swartz</v>
      </c>
      <c r="C46" s="41" t="b">
        <f>IFERROR(__xludf.DUMMYFUNCTION("""COMPUTED_VALUE"""),FALSE)</f>
        <v>0</v>
      </c>
      <c r="D46" s="42">
        <f>IFERROR(__xludf.DUMMYFUNCTION("""COMPUTED_VALUE"""),0.3787295664996978)</f>
        <v>0.3787295665</v>
      </c>
      <c r="E46" s="43">
        <f>IFERROR(__xludf.DUMMYFUNCTION("""COMPUTED_VALUE"""),141375.68)</f>
        <v>141375.68</v>
      </c>
      <c r="F46" s="43">
        <f>IFERROR(__xludf.DUMMYFUNCTION("""COMPUTED_VALUE"""),0.0)</f>
        <v>0</v>
      </c>
      <c r="G46" s="43">
        <f>IFERROR(__xludf.DUMMYFUNCTION("""COMPUTED_VALUE"""),141054.19)</f>
        <v>141054.19</v>
      </c>
      <c r="H46" s="43">
        <f>IFERROR(__xludf.DUMMYFUNCTION("""COMPUTED_VALUE"""),141054.19)</f>
        <v>141054.19</v>
      </c>
      <c r="I46" s="44">
        <f>IFERROR(__xludf.DUMMYFUNCTION("""COMPUTED_VALUE"""),1413.7567999999999)</f>
        <v>1413.7568</v>
      </c>
      <c r="J46" s="44">
        <f>IFERROR(__xludf.DUMMYFUNCTION("""COMPUTED_VALUE"""),1410.5399999999997)</f>
        <v>1410.54</v>
      </c>
      <c r="K46" s="43">
        <f>IFERROR(__xludf.DUMMYFUNCTION("""COMPUTED_VALUE"""),0.0)</f>
        <v>0</v>
      </c>
      <c r="L46" s="46" t="b">
        <v>0</v>
      </c>
      <c r="M46" s="28"/>
    </row>
    <row r="47">
      <c r="A47" s="32">
        <f>IFERROR(__xludf.DUMMYFUNCTION("""COMPUTED_VALUE"""),2.0255176E7)</f>
        <v>20255176</v>
      </c>
      <c r="B47" s="32" t="str">
        <f>IFERROR(__xludf.DUMMYFUNCTION("""COMPUTED_VALUE"""),"Ransae  Hall")</f>
        <v>Ransae  Hall</v>
      </c>
      <c r="C47" s="32" t="b">
        <f>IFERROR(__xludf.DUMMYFUNCTION("""COMPUTED_VALUE"""),TRUE)</f>
        <v>1</v>
      </c>
      <c r="D47" s="33">
        <f>IFERROR(__xludf.DUMMYFUNCTION("""COMPUTED_VALUE"""),0.4506232812634717)</f>
        <v>0.4506232813</v>
      </c>
      <c r="E47" s="34">
        <f>IFERROR(__xludf.DUMMYFUNCTION("""COMPUTED_VALUE"""),15486.94)</f>
        <v>15486.94</v>
      </c>
      <c r="F47" s="34">
        <f>IFERROR(__xludf.DUMMYFUNCTION("""COMPUTED_VALUE"""),55.0)</f>
        <v>55</v>
      </c>
      <c r="G47" s="34">
        <f>IFERROR(__xludf.DUMMYFUNCTION("""COMPUTED_VALUE"""),15541.94)</f>
        <v>15541.94</v>
      </c>
      <c r="H47" s="34">
        <f>IFERROR(__xludf.DUMMYFUNCTION("""COMPUTED_VALUE"""),15541.94)</f>
        <v>15541.94</v>
      </c>
      <c r="I47" s="40">
        <f>IFERROR(__xludf.DUMMYFUNCTION("""COMPUTED_VALUE"""),155.4194)</f>
        <v>155.4194</v>
      </c>
      <c r="J47" s="40">
        <f>IFERROR(__xludf.DUMMYFUNCTION("""COMPUTED_VALUE"""),0.0)</f>
        <v>0</v>
      </c>
      <c r="K47" s="34">
        <f>IFERROR(__xludf.DUMMYFUNCTION("""COMPUTED_VALUE"""),0.0)</f>
        <v>0</v>
      </c>
      <c r="L47" s="37" t="b">
        <v>0</v>
      </c>
      <c r="M47" s="28"/>
    </row>
    <row r="48">
      <c r="A48" s="32">
        <f>IFERROR(__xludf.DUMMYFUNCTION("""COMPUTED_VALUE"""),2.0255177E7)</f>
        <v>20255177</v>
      </c>
      <c r="B48" s="32" t="str">
        <f>IFERROR(__xludf.DUMMYFUNCTION("""COMPUTED_VALUE"""),"Daron Brown")</f>
        <v>Daron Brown</v>
      </c>
      <c r="C48" s="32" t="b">
        <f>IFERROR(__xludf.DUMMYFUNCTION("""COMPUTED_VALUE"""),TRUE)</f>
        <v>1</v>
      </c>
      <c r="D48" s="33">
        <f>IFERROR(__xludf.DUMMYFUNCTION("""COMPUTED_VALUE"""),0.3499223904787732)</f>
        <v>0.3499223905</v>
      </c>
      <c r="E48" s="34">
        <f>IFERROR(__xludf.DUMMYFUNCTION("""COMPUTED_VALUE"""),9476.93)</f>
        <v>9476.93</v>
      </c>
      <c r="F48" s="34">
        <f>IFERROR(__xludf.DUMMYFUNCTION("""COMPUTED_VALUE"""),0.0)</f>
        <v>0</v>
      </c>
      <c r="G48" s="34">
        <f>IFERROR(__xludf.DUMMYFUNCTION("""COMPUTED_VALUE"""),9476.93)</f>
        <v>9476.93</v>
      </c>
      <c r="H48" s="34">
        <f>IFERROR(__xludf.DUMMYFUNCTION("""COMPUTED_VALUE"""),9476.93)</f>
        <v>9476.93</v>
      </c>
      <c r="I48" s="40">
        <f>IFERROR(__xludf.DUMMYFUNCTION("""COMPUTED_VALUE"""),94.7693)</f>
        <v>94.7693</v>
      </c>
      <c r="J48" s="40">
        <f>IFERROR(__xludf.DUMMYFUNCTION("""COMPUTED_VALUE"""),94.77)</f>
        <v>94.77</v>
      </c>
      <c r="K48" s="34">
        <f>IFERROR(__xludf.DUMMYFUNCTION("""COMPUTED_VALUE"""),0.0)</f>
        <v>0</v>
      </c>
      <c r="L48" s="37" t="b">
        <v>0</v>
      </c>
      <c r="M48" s="28"/>
    </row>
    <row r="49">
      <c r="A49" s="32">
        <f>IFERROR(__xludf.DUMMYFUNCTION("""COMPUTED_VALUE"""),2.0255178E7)</f>
        <v>20255178</v>
      </c>
      <c r="B49" s="32" t="str">
        <f>IFERROR(__xludf.DUMMYFUNCTION("""COMPUTED_VALUE"""),"Shannon Clark")</f>
        <v>Shannon Clark</v>
      </c>
      <c r="C49" s="32" t="b">
        <f>IFERROR(__xludf.DUMMYFUNCTION("""COMPUTED_VALUE"""),TRUE)</f>
        <v>1</v>
      </c>
      <c r="D49" s="39">
        <f>IFERROR(__xludf.DUMMYFUNCTION("""COMPUTED_VALUE"""),0.28770393013100437)</f>
        <v>0.2877039301</v>
      </c>
      <c r="E49" s="34">
        <f>IFERROR(__xludf.DUMMYFUNCTION("""COMPUTED_VALUE"""),10999.63)</f>
        <v>10999.63</v>
      </c>
      <c r="F49" s="34">
        <f>IFERROR(__xludf.DUMMYFUNCTION("""COMPUTED_VALUE"""),450.3700000000008)</f>
        <v>450.37</v>
      </c>
      <c r="G49" s="34">
        <f>IFERROR(__xludf.DUMMYFUNCTION("""COMPUTED_VALUE"""),11449.63)</f>
        <v>11449.63</v>
      </c>
      <c r="H49" s="34">
        <f>IFERROR(__xludf.DUMMYFUNCTION("""COMPUTED_VALUE"""),11450.0)</f>
        <v>11450</v>
      </c>
      <c r="I49" s="40">
        <f>IFERROR(__xludf.DUMMYFUNCTION("""COMPUTED_VALUE"""),114.5)</f>
        <v>114.5</v>
      </c>
      <c r="J49" s="40">
        <f>IFERROR(__xludf.DUMMYFUNCTION("""COMPUTED_VALUE"""),114.5)</f>
        <v>114.5</v>
      </c>
      <c r="K49" s="34">
        <f>IFERROR(__xludf.DUMMYFUNCTION("""COMPUTED_VALUE"""),0.0)</f>
        <v>0</v>
      </c>
      <c r="L49" s="37" t="b">
        <v>0</v>
      </c>
      <c r="M49" s="28"/>
    </row>
    <row r="50">
      <c r="A50" s="32">
        <f>IFERROR(__xludf.DUMMYFUNCTION("""COMPUTED_VALUE"""),2.0255179E7)</f>
        <v>20255179</v>
      </c>
      <c r="B50" s="32" t="str">
        <f>IFERROR(__xludf.DUMMYFUNCTION("""COMPUTED_VALUE"""),"Ryan Walker")</f>
        <v>Ryan Walker</v>
      </c>
      <c r="C50" s="32" t="b">
        <f>IFERROR(__xludf.DUMMYFUNCTION("""COMPUTED_VALUE"""),TRUE)</f>
        <v>1</v>
      </c>
      <c r="D50" s="33">
        <f>IFERROR(__xludf.DUMMYFUNCTION("""COMPUTED_VALUE"""),0.49049642502735297)</f>
        <v>0.490496425</v>
      </c>
      <c r="E50" s="34">
        <f>IFERROR(__xludf.DUMMYFUNCTION("""COMPUTED_VALUE"""),20025.57)</f>
        <v>20025.57</v>
      </c>
      <c r="F50" s="34">
        <f>IFERROR(__xludf.DUMMYFUNCTION("""COMPUTED_VALUE"""),2376.0)</f>
        <v>2376</v>
      </c>
      <c r="G50" s="34">
        <f>IFERROR(__xludf.DUMMYFUNCTION("""COMPUTED_VALUE"""),22401.57)</f>
        <v>22401.57</v>
      </c>
      <c r="H50" s="34">
        <f>IFERROR(__xludf.DUMMYFUNCTION("""COMPUTED_VALUE"""),22401.57)</f>
        <v>22401.57</v>
      </c>
      <c r="I50" s="40">
        <f>IFERROR(__xludf.DUMMYFUNCTION("""COMPUTED_VALUE"""),224.0157)</f>
        <v>224.0157</v>
      </c>
      <c r="J50" s="40">
        <f>IFERROR(__xludf.DUMMYFUNCTION("""COMPUTED_VALUE"""),224.02)</f>
        <v>224.02</v>
      </c>
      <c r="K50" s="34">
        <f>IFERROR(__xludf.DUMMYFUNCTION("""COMPUTED_VALUE"""),0.0)</f>
        <v>0</v>
      </c>
      <c r="L50" s="37" t="b">
        <v>0</v>
      </c>
      <c r="M50" s="28"/>
    </row>
    <row r="51">
      <c r="A51" s="32">
        <f>IFERROR(__xludf.DUMMYFUNCTION("""COMPUTED_VALUE"""),2.025518E7)</f>
        <v>20255180</v>
      </c>
      <c r="B51" s="32" t="str">
        <f>IFERROR(__xludf.DUMMYFUNCTION("""COMPUTED_VALUE"""),"Kevin Rode")</f>
        <v>Kevin Rode</v>
      </c>
      <c r="C51" s="32" t="b">
        <f>IFERROR(__xludf.DUMMYFUNCTION("""COMPUTED_VALUE"""),TRUE)</f>
        <v>1</v>
      </c>
      <c r="D51" s="33">
        <f>IFERROR(__xludf.DUMMYFUNCTION("""COMPUTED_VALUE"""),1.0)</f>
        <v>1</v>
      </c>
      <c r="E51" s="34">
        <f>IFERROR(__xludf.DUMMYFUNCTION("""COMPUTED_VALUE"""),735.86)</f>
        <v>735.86</v>
      </c>
      <c r="F51" s="34">
        <f>IFERROR(__xludf.DUMMYFUNCTION("""COMPUTED_VALUE"""),0.0)</f>
        <v>0</v>
      </c>
      <c r="G51" s="34">
        <f>IFERROR(__xludf.DUMMYFUNCTION("""COMPUTED_VALUE"""),735.86)</f>
        <v>735.86</v>
      </c>
      <c r="H51" s="34">
        <f>IFERROR(__xludf.DUMMYFUNCTION("""COMPUTED_VALUE"""),735.86)</f>
        <v>735.86</v>
      </c>
      <c r="I51" s="40">
        <f>IFERROR(__xludf.DUMMYFUNCTION("""COMPUTED_VALUE"""),7.3586)</f>
        <v>7.3586</v>
      </c>
      <c r="J51" s="40">
        <f>IFERROR(__xludf.DUMMYFUNCTION("""COMPUTED_VALUE"""),7.36)</f>
        <v>7.36</v>
      </c>
      <c r="K51" s="34">
        <f>IFERROR(__xludf.DUMMYFUNCTION("""COMPUTED_VALUE"""),0.0)</f>
        <v>0</v>
      </c>
      <c r="L51" s="37" t="b">
        <v>0</v>
      </c>
      <c r="M51" s="28"/>
    </row>
    <row r="52">
      <c r="A52" s="32">
        <f>IFERROR(__xludf.DUMMYFUNCTION("""COMPUTED_VALUE"""),2.0255183E7)</f>
        <v>20255183</v>
      </c>
      <c r="B52" s="32" t="str">
        <f>IFERROR(__xludf.DUMMYFUNCTION("""COMPUTED_VALUE"""),"Barb Spurgeon")</f>
        <v>Barb Spurgeon</v>
      </c>
      <c r="C52" s="32" t="b">
        <f>IFERROR(__xludf.DUMMYFUNCTION("""COMPUTED_VALUE"""),TRUE)</f>
        <v>1</v>
      </c>
      <c r="D52" s="33">
        <f>IFERROR(__xludf.DUMMYFUNCTION("""COMPUTED_VALUE"""),0.5431164378827465)</f>
        <v>0.5431164379</v>
      </c>
      <c r="E52" s="34">
        <f>IFERROR(__xludf.DUMMYFUNCTION("""COMPUTED_VALUE"""),1296.78)</f>
        <v>1296.78</v>
      </c>
      <c r="F52" s="34">
        <f>IFERROR(__xludf.DUMMYFUNCTION("""COMPUTED_VALUE"""),150.0)</f>
        <v>150</v>
      </c>
      <c r="G52" s="34">
        <f>IFERROR(__xludf.DUMMYFUNCTION("""COMPUTED_VALUE"""),1296.78)</f>
        <v>1296.78</v>
      </c>
      <c r="H52" s="34">
        <f>IFERROR(__xludf.DUMMYFUNCTION("""COMPUTED_VALUE"""),1446.78)</f>
        <v>1446.78</v>
      </c>
      <c r="I52" s="40">
        <f>IFERROR(__xludf.DUMMYFUNCTION("""COMPUTED_VALUE"""),14.4678)</f>
        <v>14.4678</v>
      </c>
      <c r="J52" s="40">
        <f>IFERROR(__xludf.DUMMYFUNCTION("""COMPUTED_VALUE"""),14.47)</f>
        <v>14.47</v>
      </c>
      <c r="K52" s="34">
        <f>IFERROR(__xludf.DUMMYFUNCTION("""COMPUTED_VALUE"""),0.0)</f>
        <v>0</v>
      </c>
      <c r="L52" s="37" t="b">
        <v>0</v>
      </c>
      <c r="M52" s="28"/>
    </row>
    <row r="53">
      <c r="A53" s="32">
        <f>IFERROR(__xludf.DUMMYFUNCTION("""COMPUTED_VALUE"""),2.0255185E7)</f>
        <v>20255185</v>
      </c>
      <c r="B53" s="32" t="str">
        <f>IFERROR(__xludf.DUMMYFUNCTION("""COMPUTED_VALUE"""),"Dayton Dreamcenter")</f>
        <v>Dayton Dreamcenter</v>
      </c>
      <c r="C53" s="32" t="b">
        <f>IFERROR(__xludf.DUMMYFUNCTION("""COMPUTED_VALUE"""),TRUE)</f>
        <v>1</v>
      </c>
      <c r="D53" s="33">
        <f>IFERROR(__xludf.DUMMYFUNCTION("""COMPUTED_VALUE"""),0.37700549818017975)</f>
        <v>0.3770054982</v>
      </c>
      <c r="E53" s="34">
        <f>IFERROR(__xludf.DUMMYFUNCTION("""COMPUTED_VALUE"""),1200.0)</f>
        <v>1200</v>
      </c>
      <c r="F53" s="34">
        <f>IFERROR(__xludf.DUMMYFUNCTION("""COMPUTED_VALUE"""),1640.94)</f>
        <v>1640.94</v>
      </c>
      <c r="G53" s="34">
        <f>IFERROR(__xludf.DUMMYFUNCTION("""COMPUTED_VALUE"""),2840.94)</f>
        <v>2840.94</v>
      </c>
      <c r="H53" s="34">
        <f>IFERROR(__xludf.DUMMYFUNCTION("""COMPUTED_VALUE"""),2840.94)</f>
        <v>2840.94</v>
      </c>
      <c r="I53" s="40">
        <f>IFERROR(__xludf.DUMMYFUNCTION("""COMPUTED_VALUE"""),28.4094)</f>
        <v>28.4094</v>
      </c>
      <c r="J53" s="40">
        <f>IFERROR(__xludf.DUMMYFUNCTION("""COMPUTED_VALUE"""),28.41)</f>
        <v>28.41</v>
      </c>
      <c r="K53" s="34">
        <f>IFERROR(__xludf.DUMMYFUNCTION("""COMPUTED_VALUE"""),0.0)</f>
        <v>0</v>
      </c>
      <c r="L53" s="37" t="b">
        <v>0</v>
      </c>
      <c r="M53" s="28"/>
    </row>
    <row r="54">
      <c r="A54" s="32">
        <f>IFERROR(__xludf.DUMMYFUNCTION("""COMPUTED_VALUE"""),2.0255186E7)</f>
        <v>20255186</v>
      </c>
      <c r="B54" s="32" t="str">
        <f>IFERROR(__xludf.DUMMYFUNCTION("""COMPUTED_VALUE"""),"Ben Shawley")</f>
        <v>Ben Shawley</v>
      </c>
      <c r="C54" s="32" t="b">
        <f>IFERROR(__xludf.DUMMYFUNCTION("""COMPUTED_VALUE"""),TRUE)</f>
        <v>1</v>
      </c>
      <c r="D54" s="33">
        <f>IFERROR(__xludf.DUMMYFUNCTION("""COMPUTED_VALUE"""),0.41560218435339885)</f>
        <v>0.4156021844</v>
      </c>
      <c r="E54" s="34">
        <f>IFERROR(__xludf.DUMMYFUNCTION("""COMPUTED_VALUE"""),15129.42)</f>
        <v>15129.42</v>
      </c>
      <c r="F54" s="34">
        <f>IFERROR(__xludf.DUMMYFUNCTION("""COMPUTED_VALUE"""),0.0)</f>
        <v>0</v>
      </c>
      <c r="G54" s="34">
        <f>IFERROR(__xludf.DUMMYFUNCTION("""COMPUTED_VALUE"""),15129.42)</f>
        <v>15129.42</v>
      </c>
      <c r="H54" s="34">
        <f>IFERROR(__xludf.DUMMYFUNCTION("""COMPUTED_VALUE"""),15129.42)</f>
        <v>15129.42</v>
      </c>
      <c r="I54" s="40">
        <f>IFERROR(__xludf.DUMMYFUNCTION("""COMPUTED_VALUE"""),151.29420000000002)</f>
        <v>151.2942</v>
      </c>
      <c r="J54" s="40">
        <f>IFERROR(__xludf.DUMMYFUNCTION("""COMPUTED_VALUE"""),151.29)</f>
        <v>151.29</v>
      </c>
      <c r="K54" s="34">
        <f>IFERROR(__xludf.DUMMYFUNCTION("""COMPUTED_VALUE"""),0.0)</f>
        <v>0</v>
      </c>
      <c r="L54" s="37" t="b">
        <v>0</v>
      </c>
      <c r="M54" s="28"/>
    </row>
    <row r="55">
      <c r="A55" s="41">
        <f>IFERROR(__xludf.DUMMYFUNCTION("""COMPUTED_VALUE"""),2.0255187E7)</f>
        <v>20255187</v>
      </c>
      <c r="B55" s="41" t="str">
        <f>IFERROR(__xludf.DUMMYFUNCTION("""COMPUTED_VALUE"""),"Pete Stueve")</f>
        <v>Pete Stueve</v>
      </c>
      <c r="C55" s="41" t="b">
        <f>IFERROR(__xludf.DUMMYFUNCTION("""COMPUTED_VALUE"""),FALSE)</f>
        <v>0</v>
      </c>
      <c r="D55" s="42">
        <f>IFERROR(__xludf.DUMMYFUNCTION("""COMPUTED_VALUE"""),1.0)</f>
        <v>1</v>
      </c>
      <c r="E55" s="43">
        <f>IFERROR(__xludf.DUMMYFUNCTION("""COMPUTED_VALUE"""),34019.71)</f>
        <v>34019.71</v>
      </c>
      <c r="F55" s="43">
        <f>IFERROR(__xludf.DUMMYFUNCTION("""COMPUTED_VALUE"""),0.0)</f>
        <v>0</v>
      </c>
      <c r="G55" s="43">
        <f>IFERROR(__xludf.DUMMYFUNCTION("""COMPUTED_VALUE"""),26765.07)</f>
        <v>26765.07</v>
      </c>
      <c r="H55" s="43">
        <f>IFERROR(__xludf.DUMMYFUNCTION("""COMPUTED_VALUE"""),26765.07)</f>
        <v>26765.07</v>
      </c>
      <c r="I55" s="44">
        <f>IFERROR(__xludf.DUMMYFUNCTION("""COMPUTED_VALUE"""),340.1971)</f>
        <v>340.1971</v>
      </c>
      <c r="J55" s="44">
        <f>IFERROR(__xludf.DUMMYFUNCTION("""COMPUTED_VALUE"""),0.0)</f>
        <v>0</v>
      </c>
      <c r="K55" s="43">
        <f>IFERROR(__xludf.DUMMYFUNCTION("""COMPUTED_VALUE"""),0.0)</f>
        <v>0</v>
      </c>
      <c r="L55" s="46" t="b">
        <v>0</v>
      </c>
      <c r="M55" s="28"/>
    </row>
    <row r="56">
      <c r="A56" s="32">
        <f>IFERROR(__xludf.DUMMYFUNCTION("""COMPUTED_VALUE"""),2.0255188E7)</f>
        <v>20255188</v>
      </c>
      <c r="B56" s="32" t="str">
        <f>IFERROR(__xludf.DUMMYFUNCTION("""COMPUTED_VALUE"""),"Faith Bergen")</f>
        <v>Faith Bergen</v>
      </c>
      <c r="C56" s="32" t="b">
        <f>IFERROR(__xludf.DUMMYFUNCTION("""COMPUTED_VALUE"""),TRUE)</f>
        <v>1</v>
      </c>
      <c r="D56" s="33">
        <f>IFERROR(__xludf.DUMMYFUNCTION("""COMPUTED_VALUE"""),0.37331542508050136)</f>
        <v>0.3733154251</v>
      </c>
      <c r="E56" s="34">
        <f>IFERROR(__xludf.DUMMYFUNCTION("""COMPUTED_VALUE"""),9909.77)</f>
        <v>9909.77</v>
      </c>
      <c r="F56" s="34">
        <f>IFERROR(__xludf.DUMMYFUNCTION("""COMPUTED_VALUE"""),0.0)</f>
        <v>0</v>
      </c>
      <c r="G56" s="34">
        <f>IFERROR(__xludf.DUMMYFUNCTION("""COMPUTED_VALUE"""),9909.77)</f>
        <v>9909.77</v>
      </c>
      <c r="H56" s="34">
        <f>IFERROR(__xludf.DUMMYFUNCTION("""COMPUTED_VALUE"""),9909.77)</f>
        <v>9909.77</v>
      </c>
      <c r="I56" s="40">
        <f>IFERROR(__xludf.DUMMYFUNCTION("""COMPUTED_VALUE"""),99.0977)</f>
        <v>99.0977</v>
      </c>
      <c r="J56" s="40">
        <f>IFERROR(__xludf.DUMMYFUNCTION("""COMPUTED_VALUE"""),99.1)</f>
        <v>99.1</v>
      </c>
      <c r="K56" s="34">
        <f>IFERROR(__xludf.DUMMYFUNCTION("""COMPUTED_VALUE"""),0.0)</f>
        <v>0</v>
      </c>
      <c r="L56" s="37" t="b">
        <v>0</v>
      </c>
      <c r="M56" s="28"/>
    </row>
    <row r="57">
      <c r="A57" s="32">
        <f>IFERROR(__xludf.DUMMYFUNCTION("""COMPUTED_VALUE"""),2.025519E7)</f>
        <v>20255190</v>
      </c>
      <c r="B57" s="32" t="str">
        <f>IFERROR(__xludf.DUMMYFUNCTION("""COMPUTED_VALUE"""),"Becky Horne")</f>
        <v>Becky Horne</v>
      </c>
      <c r="C57" s="32" t="b">
        <f>IFERROR(__xludf.DUMMYFUNCTION("""COMPUTED_VALUE"""),TRUE)</f>
        <v>1</v>
      </c>
      <c r="D57" s="33">
        <f>IFERROR(__xludf.DUMMYFUNCTION("""COMPUTED_VALUE"""),0.3877693873338559)</f>
        <v>0.3877693873</v>
      </c>
      <c r="E57" s="34">
        <f>IFERROR(__xludf.DUMMYFUNCTION("""COMPUTED_VALUE"""),38576.07)</f>
        <v>38576.07</v>
      </c>
      <c r="F57" s="34">
        <f>IFERROR(__xludf.DUMMYFUNCTION("""COMPUTED_VALUE"""),1053.6700000000055)</f>
        <v>1053.67</v>
      </c>
      <c r="G57" s="34">
        <f>IFERROR(__xludf.DUMMYFUNCTION("""COMPUTED_VALUE"""),17875.47)</f>
        <v>17875.47</v>
      </c>
      <c r="H57" s="34">
        <f>IFERROR(__xludf.DUMMYFUNCTION("""COMPUTED_VALUE"""),39629.740000000005)</f>
        <v>39629.74</v>
      </c>
      <c r="I57" s="40">
        <f>IFERROR(__xludf.DUMMYFUNCTION("""COMPUTED_VALUE"""),396.29740000000004)</f>
        <v>396.2974</v>
      </c>
      <c r="J57" s="40">
        <f>IFERROR(__xludf.DUMMYFUNCTION("""COMPUTED_VALUE"""),178.75)</f>
        <v>178.75</v>
      </c>
      <c r="K57" s="34">
        <f>IFERROR(__xludf.DUMMYFUNCTION("""COMPUTED_VALUE"""),0.0)</f>
        <v>0</v>
      </c>
      <c r="L57" s="37" t="b">
        <v>0</v>
      </c>
      <c r="M57" s="28"/>
    </row>
    <row r="58">
      <c r="A58" s="32">
        <f>IFERROR(__xludf.DUMMYFUNCTION("""COMPUTED_VALUE"""),2.0255191E7)</f>
        <v>20255191</v>
      </c>
      <c r="B58" s="32" t="str">
        <f>IFERROR(__xludf.DUMMYFUNCTION("""COMPUTED_VALUE"""),"Jeff Hobbs")</f>
        <v>Jeff Hobbs</v>
      </c>
      <c r="C58" s="32" t="b">
        <f>IFERROR(__xludf.DUMMYFUNCTION("""COMPUTED_VALUE"""),TRUE)</f>
        <v>1</v>
      </c>
      <c r="D58" s="33">
        <f>IFERROR(__xludf.DUMMYFUNCTION("""COMPUTED_VALUE"""),0.4070369733447979)</f>
        <v>0.4070369733</v>
      </c>
      <c r="E58" s="34">
        <f>IFERROR(__xludf.DUMMYFUNCTION("""COMPUTED_VALUE"""),27975.0)</f>
        <v>27975</v>
      </c>
      <c r="F58" s="34">
        <f>IFERROR(__xludf.DUMMYFUNCTION("""COMPUTED_VALUE"""),1100.0)</f>
        <v>1100</v>
      </c>
      <c r="G58" s="34">
        <f>IFERROR(__xludf.DUMMYFUNCTION("""COMPUTED_VALUE"""),29075.0)</f>
        <v>29075</v>
      </c>
      <c r="H58" s="34">
        <f>IFERROR(__xludf.DUMMYFUNCTION("""COMPUTED_VALUE"""),29075.0)</f>
        <v>29075</v>
      </c>
      <c r="I58" s="40">
        <f>IFERROR(__xludf.DUMMYFUNCTION("""COMPUTED_VALUE"""),290.75)</f>
        <v>290.75</v>
      </c>
      <c r="J58" s="40">
        <f>IFERROR(__xludf.DUMMYFUNCTION("""COMPUTED_VALUE"""),290.75)</f>
        <v>290.75</v>
      </c>
      <c r="K58" s="34">
        <f>IFERROR(__xludf.DUMMYFUNCTION("""COMPUTED_VALUE"""),0.0)</f>
        <v>0</v>
      </c>
      <c r="L58" s="37" t="b">
        <v>0</v>
      </c>
      <c r="M58" s="28"/>
    </row>
    <row r="59">
      <c r="A59" s="32">
        <f>IFERROR(__xludf.DUMMYFUNCTION("""COMPUTED_VALUE"""),2.0255193E7)</f>
        <v>20255193</v>
      </c>
      <c r="B59" s="32" t="str">
        <f>IFERROR(__xludf.DUMMYFUNCTION("""COMPUTED_VALUE"""),"Jerome Hudson")</f>
        <v>Jerome Hudson</v>
      </c>
      <c r="C59" s="32" t="b">
        <f>IFERROR(__xludf.DUMMYFUNCTION("""COMPUTED_VALUE"""),TRUE)</f>
        <v>1</v>
      </c>
      <c r="D59" s="33">
        <f>IFERROR(__xludf.DUMMYFUNCTION("""COMPUTED_VALUE"""),0.37989642108001753)</f>
        <v>0.3798964211</v>
      </c>
      <c r="E59" s="34">
        <f>IFERROR(__xludf.DUMMYFUNCTION("""COMPUTED_VALUE"""),2459.96)</f>
        <v>2459.96</v>
      </c>
      <c r="F59" s="34">
        <f>IFERROR(__xludf.DUMMYFUNCTION("""COMPUTED_VALUE"""),0.0)</f>
        <v>0</v>
      </c>
      <c r="G59" s="34">
        <f>IFERROR(__xludf.DUMMYFUNCTION("""COMPUTED_VALUE"""),2459.96)</f>
        <v>2459.96</v>
      </c>
      <c r="H59" s="34">
        <f>IFERROR(__xludf.DUMMYFUNCTION("""COMPUTED_VALUE"""),2459.96)</f>
        <v>2459.96</v>
      </c>
      <c r="I59" s="40">
        <f>IFERROR(__xludf.DUMMYFUNCTION("""COMPUTED_VALUE"""),24.599600000000002)</f>
        <v>24.5996</v>
      </c>
      <c r="J59" s="40">
        <f>IFERROR(__xludf.DUMMYFUNCTION("""COMPUTED_VALUE"""),24.6)</f>
        <v>24.6</v>
      </c>
      <c r="K59" s="34">
        <f>IFERROR(__xludf.DUMMYFUNCTION("""COMPUTED_VALUE"""),0.0)</f>
        <v>0</v>
      </c>
      <c r="L59" s="37" t="b">
        <v>0</v>
      </c>
      <c r="M59" s="28"/>
    </row>
    <row r="60">
      <c r="A60" s="32">
        <f>IFERROR(__xludf.DUMMYFUNCTION("""COMPUTED_VALUE"""),2.0255195E7)</f>
        <v>20255195</v>
      </c>
      <c r="B60" s="32" t="str">
        <f>IFERROR(__xludf.DUMMYFUNCTION("""COMPUTED_VALUE"""),"Nancy Avila")</f>
        <v>Nancy Avila</v>
      </c>
      <c r="C60" s="32" t="b">
        <f>IFERROR(__xludf.DUMMYFUNCTION("""COMPUTED_VALUE"""),TRUE)</f>
        <v>1</v>
      </c>
      <c r="D60" s="33">
        <f>IFERROR(__xludf.DUMMYFUNCTION("""COMPUTED_VALUE"""),0.6717820512820513)</f>
        <v>0.6717820513</v>
      </c>
      <c r="E60" s="34">
        <f>IFERROR(__xludf.DUMMYFUNCTION("""COMPUTED_VALUE"""),780.0)</f>
        <v>780</v>
      </c>
      <c r="F60" s="34">
        <f>IFERROR(__xludf.DUMMYFUNCTION("""COMPUTED_VALUE"""),0.0)</f>
        <v>0</v>
      </c>
      <c r="G60" s="34">
        <f>IFERROR(__xludf.DUMMYFUNCTION("""COMPUTED_VALUE"""),780.0)</f>
        <v>780</v>
      </c>
      <c r="H60" s="34">
        <f>IFERROR(__xludf.DUMMYFUNCTION("""COMPUTED_VALUE"""),780.0)</f>
        <v>780</v>
      </c>
      <c r="I60" s="40">
        <f>IFERROR(__xludf.DUMMYFUNCTION("""COMPUTED_VALUE"""),7.8)</f>
        <v>7.8</v>
      </c>
      <c r="J60" s="40">
        <f>IFERROR(__xludf.DUMMYFUNCTION("""COMPUTED_VALUE"""),0.0)</f>
        <v>0</v>
      </c>
      <c r="K60" s="34">
        <f>IFERROR(__xludf.DUMMYFUNCTION("""COMPUTED_VALUE"""),0.0)</f>
        <v>0</v>
      </c>
      <c r="L60" s="37" t="b">
        <v>0</v>
      </c>
      <c r="M60" s="28"/>
    </row>
    <row r="61">
      <c r="A61" s="47">
        <f>IFERROR(__xludf.DUMMYFUNCTION("""COMPUTED_VALUE"""),2.0255197E7)</f>
        <v>20255197</v>
      </c>
      <c r="B61" s="47" t="str">
        <f>IFERROR(__xludf.DUMMYFUNCTION("""COMPUTED_VALUE"""),"James Chestnut")</f>
        <v>James Chestnut</v>
      </c>
      <c r="C61" s="47" t="b">
        <f>IFERROR(__xludf.DUMMYFUNCTION("""COMPUTED_VALUE"""),TRUE)</f>
        <v>1</v>
      </c>
      <c r="D61" s="48">
        <f>IFERROR(__xludf.DUMMYFUNCTION("""COMPUTED_VALUE"""),0.6590203883545271)</f>
        <v>0.6590203884</v>
      </c>
      <c r="E61" s="49">
        <f>IFERROR(__xludf.DUMMYFUNCTION("""COMPUTED_VALUE"""),1936.89)</f>
        <v>1936.89</v>
      </c>
      <c r="F61" s="49">
        <f>IFERROR(__xludf.DUMMYFUNCTION("""COMPUTED_VALUE"""),0.0)</f>
        <v>0</v>
      </c>
      <c r="G61" s="49">
        <f>IFERROR(__xludf.DUMMYFUNCTION("""COMPUTED_VALUE"""),1936.89)</f>
        <v>1936.89</v>
      </c>
      <c r="H61" s="49">
        <f>IFERROR(__xludf.DUMMYFUNCTION("""COMPUTED_VALUE"""),1936.89)</f>
        <v>1936.89</v>
      </c>
      <c r="I61" s="50">
        <f>IFERROR(__xludf.DUMMYFUNCTION("""COMPUTED_VALUE"""),19.3689)</f>
        <v>19.3689</v>
      </c>
      <c r="J61" s="50">
        <f>IFERROR(__xludf.DUMMYFUNCTION("""COMPUTED_VALUE"""),0.0)</f>
        <v>0</v>
      </c>
      <c r="K61" s="49">
        <f>IFERROR(__xludf.DUMMYFUNCTION("""COMPUTED_VALUE"""),19.37)</f>
        <v>19.37</v>
      </c>
      <c r="L61" s="47" t="b">
        <v>0</v>
      </c>
      <c r="M61" s="28"/>
    </row>
    <row r="62">
      <c r="A62" s="32">
        <f>IFERROR(__xludf.DUMMYFUNCTION("""COMPUTED_VALUE"""),2.0255198E7)</f>
        <v>20255198</v>
      </c>
      <c r="B62" s="32" t="str">
        <f>IFERROR(__xludf.DUMMYFUNCTION("""COMPUTED_VALUE"""),"Dave Linnenkohl - Daughter's House")</f>
        <v>Dave Linnenkohl - Daughter's House</v>
      </c>
      <c r="C62" s="32" t="b">
        <f>IFERROR(__xludf.DUMMYFUNCTION("""COMPUTED_VALUE"""),TRUE)</f>
        <v>1</v>
      </c>
      <c r="D62" s="33">
        <f>IFERROR(__xludf.DUMMYFUNCTION("""COMPUTED_VALUE"""),0.4972210151530019)</f>
        <v>0.4972210152</v>
      </c>
      <c r="E62" s="34">
        <f>IFERROR(__xludf.DUMMYFUNCTION("""COMPUTED_VALUE"""),8565.68)</f>
        <v>8565.68</v>
      </c>
      <c r="F62" s="34">
        <f>IFERROR(__xludf.DUMMYFUNCTION("""COMPUTED_VALUE"""),-5.0)</f>
        <v>-5</v>
      </c>
      <c r="G62" s="34">
        <f>IFERROR(__xludf.DUMMYFUNCTION("""COMPUTED_VALUE"""),8565.68)</f>
        <v>8565.68</v>
      </c>
      <c r="H62" s="34">
        <f>IFERROR(__xludf.DUMMYFUNCTION("""COMPUTED_VALUE"""),8560.68)</f>
        <v>8560.68</v>
      </c>
      <c r="I62" s="40">
        <f>IFERROR(__xludf.DUMMYFUNCTION("""COMPUTED_VALUE"""),85.6068)</f>
        <v>85.6068</v>
      </c>
      <c r="J62" s="40">
        <f>IFERROR(__xludf.DUMMYFUNCTION("""COMPUTED_VALUE"""),85.61)</f>
        <v>85.61</v>
      </c>
      <c r="K62" s="34">
        <f>IFERROR(__xludf.DUMMYFUNCTION("""COMPUTED_VALUE"""),0.0)</f>
        <v>0</v>
      </c>
      <c r="L62" s="37" t="b">
        <v>0</v>
      </c>
      <c r="M62" s="28"/>
    </row>
    <row r="63">
      <c r="A63" s="32">
        <f>IFERROR(__xludf.DUMMYFUNCTION("""COMPUTED_VALUE"""),2.0255199E7)</f>
        <v>20255199</v>
      </c>
      <c r="B63" s="32" t="str">
        <f>IFERROR(__xludf.DUMMYFUNCTION("""COMPUTED_VALUE"""),"Sherrill Silvers")</f>
        <v>Sherrill Silvers</v>
      </c>
      <c r="C63" s="32" t="b">
        <f>IFERROR(__xludf.DUMMYFUNCTION("""COMPUTED_VALUE"""),TRUE)</f>
        <v>1</v>
      </c>
      <c r="D63" s="33">
        <f>IFERROR(__xludf.DUMMYFUNCTION("""COMPUTED_VALUE"""),0.5901020500316084)</f>
        <v>0.59010205</v>
      </c>
      <c r="E63" s="34">
        <f>IFERROR(__xludf.DUMMYFUNCTION("""COMPUTED_VALUE"""),4927.85)</f>
        <v>4927.85</v>
      </c>
      <c r="F63" s="34">
        <f>IFERROR(__xludf.DUMMYFUNCTION("""COMPUTED_VALUE"""),55.0)</f>
        <v>55</v>
      </c>
      <c r="G63" s="34">
        <f>IFERROR(__xludf.DUMMYFUNCTION("""COMPUTED_VALUE"""),4982.85)</f>
        <v>4982.85</v>
      </c>
      <c r="H63" s="34">
        <f>IFERROR(__xludf.DUMMYFUNCTION("""COMPUTED_VALUE"""),4982.85)</f>
        <v>4982.85</v>
      </c>
      <c r="I63" s="40">
        <f>IFERROR(__xludf.DUMMYFUNCTION("""COMPUTED_VALUE"""),49.828500000000005)</f>
        <v>49.8285</v>
      </c>
      <c r="J63" s="40">
        <f>IFERROR(__xludf.DUMMYFUNCTION("""COMPUTED_VALUE"""),0.0)</f>
        <v>0</v>
      </c>
      <c r="K63" s="34">
        <f>IFERROR(__xludf.DUMMYFUNCTION("""COMPUTED_VALUE"""),0.0)</f>
        <v>0</v>
      </c>
      <c r="L63" s="37" t="b">
        <v>0</v>
      </c>
      <c r="M63" s="28"/>
    </row>
    <row r="64">
      <c r="A64" s="32">
        <f>IFERROR(__xludf.DUMMYFUNCTION("""COMPUTED_VALUE"""),2.02552E7)</f>
        <v>20255200</v>
      </c>
      <c r="B64" s="32" t="str">
        <f>IFERROR(__xludf.DUMMYFUNCTION("""COMPUTED_VALUE"""),"Alex McFeters")</f>
        <v>Alex McFeters</v>
      </c>
      <c r="C64" s="32" t="b">
        <f>IFERROR(__xludf.DUMMYFUNCTION("""COMPUTED_VALUE"""),TRUE)</f>
        <v>1</v>
      </c>
      <c r="D64" s="33">
        <f>IFERROR(__xludf.DUMMYFUNCTION("""COMPUTED_VALUE"""),1.0)</f>
        <v>1</v>
      </c>
      <c r="E64" s="34">
        <f>IFERROR(__xludf.DUMMYFUNCTION("""COMPUTED_VALUE"""),3186.88)</f>
        <v>3186.88</v>
      </c>
      <c r="F64" s="34">
        <f>IFERROR(__xludf.DUMMYFUNCTION("""COMPUTED_VALUE"""),55.0)</f>
        <v>55</v>
      </c>
      <c r="G64" s="34">
        <f>IFERROR(__xludf.DUMMYFUNCTION("""COMPUTED_VALUE"""),3241.88)</f>
        <v>3241.88</v>
      </c>
      <c r="H64" s="34">
        <f>IFERROR(__xludf.DUMMYFUNCTION("""COMPUTED_VALUE"""),3241.88)</f>
        <v>3241.88</v>
      </c>
      <c r="I64" s="40">
        <f>IFERROR(__xludf.DUMMYFUNCTION("""COMPUTED_VALUE"""),32.418800000000005)</f>
        <v>32.4188</v>
      </c>
      <c r="J64" s="40">
        <f>IFERROR(__xludf.DUMMYFUNCTION("""COMPUTED_VALUE"""),0.0)</f>
        <v>0</v>
      </c>
      <c r="K64" s="34">
        <f>IFERROR(__xludf.DUMMYFUNCTION("""COMPUTED_VALUE"""),0.0)</f>
        <v>0</v>
      </c>
      <c r="L64" s="37" t="b">
        <v>0</v>
      </c>
      <c r="M64" s="28"/>
    </row>
    <row r="65">
      <c r="A65" s="32">
        <f>IFERROR(__xludf.DUMMYFUNCTION("""COMPUTED_VALUE"""),2.0255201E7)</f>
        <v>20255201</v>
      </c>
      <c r="B65" s="32" t="str">
        <f>IFERROR(__xludf.DUMMYFUNCTION("""COMPUTED_VALUE"""),"Glenn Westrick")</f>
        <v>Glenn Westrick</v>
      </c>
      <c r="C65" s="32" t="b">
        <f>IFERROR(__xludf.DUMMYFUNCTION("""COMPUTED_VALUE"""),TRUE)</f>
        <v>1</v>
      </c>
      <c r="D65" s="33">
        <f>IFERROR(__xludf.DUMMYFUNCTION("""COMPUTED_VALUE"""),0.6332966629996333)</f>
        <v>0.633296663</v>
      </c>
      <c r="E65" s="34">
        <f>IFERROR(__xludf.DUMMYFUNCTION("""COMPUTED_VALUE"""),545.4)</f>
        <v>545.4</v>
      </c>
      <c r="F65" s="34">
        <f>IFERROR(__xludf.DUMMYFUNCTION("""COMPUTED_VALUE"""),0.0)</f>
        <v>0</v>
      </c>
      <c r="G65" s="34">
        <f>IFERROR(__xludf.DUMMYFUNCTION("""COMPUTED_VALUE"""),545.4)</f>
        <v>545.4</v>
      </c>
      <c r="H65" s="34">
        <f>IFERROR(__xludf.DUMMYFUNCTION("""COMPUTED_VALUE"""),545.4)</f>
        <v>545.4</v>
      </c>
      <c r="I65" s="40">
        <f>IFERROR(__xludf.DUMMYFUNCTION("""COMPUTED_VALUE"""),5.454)</f>
        <v>5.454</v>
      </c>
      <c r="J65" s="40">
        <f>IFERROR(__xludf.DUMMYFUNCTION("""COMPUTED_VALUE"""),0.0)</f>
        <v>0</v>
      </c>
      <c r="K65" s="34">
        <f>IFERROR(__xludf.DUMMYFUNCTION("""COMPUTED_VALUE"""),0.0)</f>
        <v>0</v>
      </c>
      <c r="L65" s="37" t="b">
        <v>0</v>
      </c>
      <c r="M65" s="28"/>
    </row>
    <row r="66">
      <c r="A66" s="32">
        <f>IFERROR(__xludf.DUMMYFUNCTION("""COMPUTED_VALUE"""),2.0255202E7)</f>
        <v>20255202</v>
      </c>
      <c r="B66" s="32" t="str">
        <f>IFERROR(__xludf.DUMMYFUNCTION("""COMPUTED_VALUE"""),"Dayton Dreamcenter")</f>
        <v>Dayton Dreamcenter</v>
      </c>
      <c r="C66" s="32" t="b">
        <f>IFERROR(__xludf.DUMMYFUNCTION("""COMPUTED_VALUE"""),TRUE)</f>
        <v>1</v>
      </c>
      <c r="D66" s="33">
        <f>IFERROR(__xludf.DUMMYFUNCTION("""COMPUTED_VALUE"""),0.6299638989169675)</f>
        <v>0.6299638989</v>
      </c>
      <c r="E66" s="34">
        <f>IFERROR(__xludf.DUMMYFUNCTION("""COMPUTED_VALUE"""),5540.0)</f>
        <v>5540</v>
      </c>
      <c r="F66" s="34">
        <f>IFERROR(__xludf.DUMMYFUNCTION("""COMPUTED_VALUE"""),0.0)</f>
        <v>0</v>
      </c>
      <c r="G66" s="34">
        <f>IFERROR(__xludf.DUMMYFUNCTION("""COMPUTED_VALUE"""),5540.0)</f>
        <v>5540</v>
      </c>
      <c r="H66" s="34">
        <f>IFERROR(__xludf.DUMMYFUNCTION("""COMPUTED_VALUE"""),5540.0)</f>
        <v>5540</v>
      </c>
      <c r="I66" s="40">
        <f>IFERROR(__xludf.DUMMYFUNCTION("""COMPUTED_VALUE"""),55.4)</f>
        <v>55.4</v>
      </c>
      <c r="J66" s="40">
        <f>IFERROR(__xludf.DUMMYFUNCTION("""COMPUTED_VALUE"""),55.4)</f>
        <v>55.4</v>
      </c>
      <c r="K66" s="34">
        <f>IFERROR(__xludf.DUMMYFUNCTION("""COMPUTED_VALUE"""),0.0)</f>
        <v>0</v>
      </c>
      <c r="L66" s="37" t="b">
        <v>0</v>
      </c>
      <c r="M66" s="28"/>
    </row>
    <row r="67">
      <c r="A67" s="32">
        <f>IFERROR(__xludf.DUMMYFUNCTION("""COMPUTED_VALUE"""),2.0255203E7)</f>
        <v>20255203</v>
      </c>
      <c r="B67" s="32" t="str">
        <f>IFERROR(__xludf.DUMMYFUNCTION("""COMPUTED_VALUE"""),"Tom Menker")</f>
        <v>Tom Menker</v>
      </c>
      <c r="C67" s="32" t="b">
        <f>IFERROR(__xludf.DUMMYFUNCTION("""COMPUTED_VALUE"""),TRUE)</f>
        <v>1</v>
      </c>
      <c r="D67" s="33">
        <f>IFERROR(__xludf.DUMMYFUNCTION("""COMPUTED_VALUE"""),0.3454932239483292)</f>
        <v>0.3454932239</v>
      </c>
      <c r="E67" s="34">
        <f>IFERROR(__xludf.DUMMYFUNCTION("""COMPUTED_VALUE"""),18206.03)</f>
        <v>18206.03</v>
      </c>
      <c r="F67" s="34">
        <f>IFERROR(__xludf.DUMMYFUNCTION("""COMPUTED_VALUE"""),0.0)</f>
        <v>0</v>
      </c>
      <c r="G67" s="34">
        <f>IFERROR(__xludf.DUMMYFUNCTION("""COMPUTED_VALUE"""),18206.03)</f>
        <v>18206.03</v>
      </c>
      <c r="H67" s="34">
        <f>IFERROR(__xludf.DUMMYFUNCTION("""COMPUTED_VALUE"""),18206.03)</f>
        <v>18206.03</v>
      </c>
      <c r="I67" s="40">
        <f>IFERROR(__xludf.DUMMYFUNCTION("""COMPUTED_VALUE"""),910.3015)</f>
        <v>910.3015</v>
      </c>
      <c r="J67" s="40">
        <f>IFERROR(__xludf.DUMMYFUNCTION("""COMPUTED_VALUE"""),0.0)</f>
        <v>0</v>
      </c>
      <c r="K67" s="34">
        <f>IFERROR(__xludf.DUMMYFUNCTION("""COMPUTED_VALUE"""),0.0)</f>
        <v>0</v>
      </c>
      <c r="L67" s="37" t="b">
        <v>0</v>
      </c>
      <c r="M67" s="28"/>
    </row>
    <row r="68">
      <c r="A68" s="32">
        <f>IFERROR(__xludf.DUMMYFUNCTION("""COMPUTED_VALUE"""),2.0255204E7)</f>
        <v>20255204</v>
      </c>
      <c r="B68" s="32" t="str">
        <f>IFERROR(__xludf.DUMMYFUNCTION("""COMPUTED_VALUE"""),"Dee Scherer")</f>
        <v>Dee Scherer</v>
      </c>
      <c r="C68" s="32" t="b">
        <f>IFERROR(__xludf.DUMMYFUNCTION("""COMPUTED_VALUE"""),TRUE)</f>
        <v>1</v>
      </c>
      <c r="D68" s="33">
        <f>IFERROR(__xludf.DUMMYFUNCTION("""COMPUTED_VALUE"""),0.7619047619047619)</f>
        <v>0.7619047619</v>
      </c>
      <c r="E68" s="34">
        <f>IFERROR(__xludf.DUMMYFUNCTION("""COMPUTED_VALUE"""),2520.0)</f>
        <v>2520</v>
      </c>
      <c r="F68" s="34">
        <f>IFERROR(__xludf.DUMMYFUNCTION("""COMPUTED_VALUE"""),0.0)</f>
        <v>0</v>
      </c>
      <c r="G68" s="34">
        <f>IFERROR(__xludf.DUMMYFUNCTION("""COMPUTED_VALUE"""),2520.0)</f>
        <v>2520</v>
      </c>
      <c r="H68" s="34">
        <f>IFERROR(__xludf.DUMMYFUNCTION("""COMPUTED_VALUE"""),2520.0)</f>
        <v>2520</v>
      </c>
      <c r="I68" s="40">
        <f>IFERROR(__xludf.DUMMYFUNCTION("""COMPUTED_VALUE"""),25.2)</f>
        <v>25.2</v>
      </c>
      <c r="J68" s="40">
        <f>IFERROR(__xludf.DUMMYFUNCTION("""COMPUTED_VALUE"""),0.0)</f>
        <v>0</v>
      </c>
      <c r="K68" s="34">
        <f>IFERROR(__xludf.DUMMYFUNCTION("""COMPUTED_VALUE"""),0.0)</f>
        <v>0</v>
      </c>
      <c r="L68" s="37" t="b">
        <v>0</v>
      </c>
      <c r="M68" s="28"/>
    </row>
    <row r="69">
      <c r="A69" s="41">
        <f>IFERROR(__xludf.DUMMYFUNCTION("""COMPUTED_VALUE"""),2.0255205E7)</f>
        <v>20255205</v>
      </c>
      <c r="B69" s="41" t="str">
        <f>IFERROR(__xludf.DUMMYFUNCTION("""COMPUTED_VALUE"""),"INS - Karen Durning")</f>
        <v>INS - Karen Durning</v>
      </c>
      <c r="C69" s="41" t="b">
        <f>IFERROR(__xludf.DUMMYFUNCTION("""COMPUTED_VALUE"""),FALSE)</f>
        <v>0</v>
      </c>
      <c r="D69" s="42">
        <f>IFERROR(__xludf.DUMMYFUNCTION("""COMPUTED_VALUE"""),1.0)</f>
        <v>1</v>
      </c>
      <c r="E69" s="43">
        <f>IFERROR(__xludf.DUMMYFUNCTION("""COMPUTED_VALUE"""),10293.08)</f>
        <v>10293.08</v>
      </c>
      <c r="F69" s="43">
        <f>IFERROR(__xludf.DUMMYFUNCTION("""COMPUTED_VALUE"""),0.0)</f>
        <v>0</v>
      </c>
      <c r="G69" s="43">
        <f>IFERROR(__xludf.DUMMYFUNCTION("""COMPUTED_VALUE"""),7182.41)</f>
        <v>7182.41</v>
      </c>
      <c r="H69" s="43">
        <f>IFERROR(__xludf.DUMMYFUNCTION("""COMPUTED_VALUE"""),7182.41)</f>
        <v>7182.41</v>
      </c>
      <c r="I69" s="44">
        <f>IFERROR(__xludf.DUMMYFUNCTION("""COMPUTED_VALUE"""),102.9308)</f>
        <v>102.9308</v>
      </c>
      <c r="J69" s="44">
        <f>IFERROR(__xludf.DUMMYFUNCTION("""COMPUTED_VALUE"""),0.0)</f>
        <v>0</v>
      </c>
      <c r="K69" s="43">
        <f>IFERROR(__xludf.DUMMYFUNCTION("""COMPUTED_VALUE"""),0.0)</f>
        <v>0</v>
      </c>
      <c r="L69" s="46" t="b">
        <v>0</v>
      </c>
      <c r="M69" s="28"/>
    </row>
    <row r="70">
      <c r="A70" s="32">
        <f>IFERROR(__xludf.DUMMYFUNCTION("""COMPUTED_VALUE"""),2.0255206E7)</f>
        <v>20255206</v>
      </c>
      <c r="B70" s="32" t="str">
        <f>IFERROR(__xludf.DUMMYFUNCTION("""COMPUTED_VALUE"""),"William Barrett")</f>
        <v>William Barrett</v>
      </c>
      <c r="C70" s="32" t="b">
        <f>IFERROR(__xludf.DUMMYFUNCTION("""COMPUTED_VALUE"""),TRUE)</f>
        <v>1</v>
      </c>
      <c r="D70" s="33">
        <f>IFERROR(__xludf.DUMMYFUNCTION("""COMPUTED_VALUE"""),0.4000010404636306)</f>
        <v>0.4000010405</v>
      </c>
      <c r="E70" s="34">
        <f>IFERROR(__xludf.DUMMYFUNCTION("""COMPUTED_VALUE"""),5766.66)</f>
        <v>5766.66</v>
      </c>
      <c r="F70" s="34">
        <f>IFERROR(__xludf.DUMMYFUNCTION("""COMPUTED_VALUE"""),0.0)</f>
        <v>0</v>
      </c>
      <c r="G70" s="34">
        <f>IFERROR(__xludf.DUMMYFUNCTION("""COMPUTED_VALUE"""),5766.66)</f>
        <v>5766.66</v>
      </c>
      <c r="H70" s="34">
        <f>IFERROR(__xludf.DUMMYFUNCTION("""COMPUTED_VALUE"""),5766.66)</f>
        <v>5766.66</v>
      </c>
      <c r="I70" s="40">
        <f>IFERROR(__xludf.DUMMYFUNCTION("""COMPUTED_VALUE"""),57.6666)</f>
        <v>57.6666</v>
      </c>
      <c r="J70" s="40">
        <f>IFERROR(__xludf.DUMMYFUNCTION("""COMPUTED_VALUE"""),0.0)</f>
        <v>0</v>
      </c>
      <c r="K70" s="34">
        <f>IFERROR(__xludf.DUMMYFUNCTION("""COMPUTED_VALUE"""),0.0)</f>
        <v>0</v>
      </c>
      <c r="L70" s="37" t="b">
        <v>0</v>
      </c>
      <c r="M70" s="28"/>
    </row>
    <row r="71">
      <c r="A71" s="32">
        <f>IFERROR(__xludf.DUMMYFUNCTION("""COMPUTED_VALUE"""),2.0255208E7)</f>
        <v>20255208</v>
      </c>
      <c r="B71" s="32" t="str">
        <f>IFERROR(__xludf.DUMMYFUNCTION("""COMPUTED_VALUE"""),"Bryant Mullinix")</f>
        <v>Bryant Mullinix</v>
      </c>
      <c r="C71" s="32" t="b">
        <f>IFERROR(__xludf.DUMMYFUNCTION("""COMPUTED_VALUE"""),TRUE)</f>
        <v>1</v>
      </c>
      <c r="D71" s="33">
        <f>IFERROR(__xludf.DUMMYFUNCTION("""COMPUTED_VALUE"""),0.411280414518843)</f>
        <v>0.4112804145</v>
      </c>
      <c r="E71" s="34">
        <f>IFERROR(__xludf.DUMMYFUNCTION("""COMPUTED_VALUE"""),1222.64)</f>
        <v>1222.64</v>
      </c>
      <c r="F71" s="34">
        <f>IFERROR(__xludf.DUMMYFUNCTION("""COMPUTED_VALUE"""),275.0)</f>
        <v>275</v>
      </c>
      <c r="G71" s="34">
        <f>IFERROR(__xludf.DUMMYFUNCTION("""COMPUTED_VALUE"""),1497.64)</f>
        <v>1497.64</v>
      </c>
      <c r="H71" s="34">
        <f>IFERROR(__xludf.DUMMYFUNCTION("""COMPUTED_VALUE"""),1497.64)</f>
        <v>1497.64</v>
      </c>
      <c r="I71" s="40">
        <f>IFERROR(__xludf.DUMMYFUNCTION("""COMPUTED_VALUE"""),14.976400000000002)</f>
        <v>14.9764</v>
      </c>
      <c r="J71" s="40">
        <f>IFERROR(__xludf.DUMMYFUNCTION("""COMPUTED_VALUE"""),0.0)</f>
        <v>0</v>
      </c>
      <c r="K71" s="34">
        <f>IFERROR(__xludf.DUMMYFUNCTION("""COMPUTED_VALUE"""),0.0)</f>
        <v>0</v>
      </c>
      <c r="L71" s="37" t="b">
        <v>0</v>
      </c>
      <c r="M71" s="28"/>
    </row>
    <row r="72">
      <c r="A72" s="28">
        <f>IFERROR(__xludf.DUMMYFUNCTION("""COMPUTED_VALUE"""),2.0255209E7)</f>
        <v>20255209</v>
      </c>
      <c r="B72" s="28" t="str">
        <f>IFERROR(__xludf.DUMMYFUNCTION("""COMPUTED_VALUE"""),"INS - Heidi Yost")</f>
        <v>INS - Heidi Yost</v>
      </c>
      <c r="C72" s="51" t="b">
        <f>IFERROR(__xludf.DUMMYFUNCTION("""COMPUTED_VALUE"""),FALSE)</f>
        <v>0</v>
      </c>
      <c r="D72" s="51" t="str">
        <f>IFERROR(__xludf.DUMMYFUNCTION("""COMPUTED_VALUE"""),"")</f>
        <v/>
      </c>
      <c r="E72" s="29">
        <f>IFERROR(__xludf.DUMMYFUNCTION("""COMPUTED_VALUE"""),0.0)</f>
        <v>0</v>
      </c>
      <c r="F72" s="29">
        <f>IFERROR(__xludf.DUMMYFUNCTION("""COMPUTED_VALUE"""),0.0)</f>
        <v>0</v>
      </c>
      <c r="G72" s="29">
        <f>IFERROR(__xludf.DUMMYFUNCTION("""COMPUTED_VALUE"""),0.0)</f>
        <v>0</v>
      </c>
      <c r="H72" s="29">
        <f>IFERROR(__xludf.DUMMYFUNCTION("""COMPUTED_VALUE"""),0.0)</f>
        <v>0</v>
      </c>
      <c r="I72" s="52">
        <f>IFERROR(__xludf.DUMMYFUNCTION("""COMPUTED_VALUE"""),0.0)</f>
        <v>0</v>
      </c>
      <c r="J72" s="52">
        <f>IFERROR(__xludf.DUMMYFUNCTION("""COMPUTED_VALUE"""),0.0)</f>
        <v>0</v>
      </c>
      <c r="K72" s="29">
        <f>IFERROR(__xludf.DUMMYFUNCTION("""COMPUTED_VALUE"""),0.0)</f>
        <v>0</v>
      </c>
      <c r="L72" s="28" t="b">
        <v>0</v>
      </c>
      <c r="M72" s="28"/>
    </row>
    <row r="73">
      <c r="A73" s="32">
        <f>IFERROR(__xludf.DUMMYFUNCTION("""COMPUTED_VALUE"""),2.0255212E7)</f>
        <v>20255212</v>
      </c>
      <c r="B73" s="32" t="str">
        <f>IFERROR(__xludf.DUMMYFUNCTION("""COMPUTED_VALUE"""),"Eric Campbell")</f>
        <v>Eric Campbell</v>
      </c>
      <c r="C73" s="32" t="b">
        <f>IFERROR(__xludf.DUMMYFUNCTION("""COMPUTED_VALUE"""),TRUE)</f>
        <v>1</v>
      </c>
      <c r="D73" s="33">
        <f>IFERROR(__xludf.DUMMYFUNCTION("""COMPUTED_VALUE"""),0.5347657316148597)</f>
        <v>0.5347657316</v>
      </c>
      <c r="E73" s="34">
        <f>IFERROR(__xludf.DUMMYFUNCTION("""COMPUTED_VALUE"""),3297.5)</f>
        <v>3297.5</v>
      </c>
      <c r="F73" s="34">
        <f>IFERROR(__xludf.DUMMYFUNCTION("""COMPUTED_VALUE"""),0.0)</f>
        <v>0</v>
      </c>
      <c r="G73" s="34">
        <f>IFERROR(__xludf.DUMMYFUNCTION("""COMPUTED_VALUE"""),3297.5)</f>
        <v>3297.5</v>
      </c>
      <c r="H73" s="34">
        <f>IFERROR(__xludf.DUMMYFUNCTION("""COMPUTED_VALUE"""),3297.5)</f>
        <v>3297.5</v>
      </c>
      <c r="I73" s="40">
        <f>IFERROR(__xludf.DUMMYFUNCTION("""COMPUTED_VALUE"""),32.975)</f>
        <v>32.975</v>
      </c>
      <c r="J73" s="40">
        <f>IFERROR(__xludf.DUMMYFUNCTION("""COMPUTED_VALUE"""),0.0)</f>
        <v>0</v>
      </c>
      <c r="K73" s="34">
        <f>IFERROR(__xludf.DUMMYFUNCTION("""COMPUTED_VALUE"""),0.0)</f>
        <v>0</v>
      </c>
      <c r="L73" s="37" t="b">
        <v>0</v>
      </c>
      <c r="M73" s="28"/>
    </row>
    <row r="74">
      <c r="A74" s="32">
        <f>IFERROR(__xludf.DUMMYFUNCTION("""COMPUTED_VALUE"""),2.0255214E7)</f>
        <v>20255214</v>
      </c>
      <c r="B74" s="32" t="str">
        <f>IFERROR(__xludf.DUMMYFUNCTION("""COMPUTED_VALUE"""),"Josh Tincher")</f>
        <v>Josh Tincher</v>
      </c>
      <c r="C74" s="32" t="b">
        <f>IFERROR(__xludf.DUMMYFUNCTION("""COMPUTED_VALUE"""),TRUE)</f>
        <v>1</v>
      </c>
      <c r="D74" s="33">
        <f>IFERROR(__xludf.DUMMYFUNCTION("""COMPUTED_VALUE"""),0.4774750452057756)</f>
        <v>0.4774750452</v>
      </c>
      <c r="E74" s="34">
        <f>IFERROR(__xludf.DUMMYFUNCTION("""COMPUTED_VALUE"""),10778.49)</f>
        <v>10778.49</v>
      </c>
      <c r="F74" s="34">
        <f>IFERROR(__xludf.DUMMYFUNCTION("""COMPUTED_VALUE"""),0.0)</f>
        <v>0</v>
      </c>
      <c r="G74" s="34">
        <f>IFERROR(__xludf.DUMMYFUNCTION("""COMPUTED_VALUE"""),10778.49)</f>
        <v>10778.49</v>
      </c>
      <c r="H74" s="34">
        <f>IFERROR(__xludf.DUMMYFUNCTION("""COMPUTED_VALUE"""),10778.49)</f>
        <v>10778.49</v>
      </c>
      <c r="I74" s="40">
        <f>IFERROR(__xludf.DUMMYFUNCTION("""COMPUTED_VALUE"""),107.7849)</f>
        <v>107.7849</v>
      </c>
      <c r="J74" s="40">
        <f>IFERROR(__xludf.DUMMYFUNCTION("""COMPUTED_VALUE"""),0.0)</f>
        <v>0</v>
      </c>
      <c r="K74" s="34">
        <f>IFERROR(__xludf.DUMMYFUNCTION("""COMPUTED_VALUE"""),0.0)</f>
        <v>0</v>
      </c>
      <c r="L74" s="37" t="b">
        <v>0</v>
      </c>
      <c r="M74" s="28"/>
    </row>
    <row r="75">
      <c r="A75" s="32">
        <f>IFERROR(__xludf.DUMMYFUNCTION("""COMPUTED_VALUE"""),2.0255215E7)</f>
        <v>20255215</v>
      </c>
      <c r="B75" s="32" t="str">
        <f>IFERROR(__xludf.DUMMYFUNCTION("""COMPUTED_VALUE"""),"James King")</f>
        <v>James King</v>
      </c>
      <c r="C75" s="32" t="b">
        <f>IFERROR(__xludf.DUMMYFUNCTION("""COMPUTED_VALUE"""),TRUE)</f>
        <v>1</v>
      </c>
      <c r="D75" s="33">
        <f>IFERROR(__xludf.DUMMYFUNCTION("""COMPUTED_VALUE"""),0.4181192481988367)</f>
        <v>0.4181192482</v>
      </c>
      <c r="E75" s="34">
        <f>IFERROR(__xludf.DUMMYFUNCTION("""COMPUTED_VALUE"""),23742.61)</f>
        <v>23742.61</v>
      </c>
      <c r="F75" s="34">
        <f>IFERROR(__xludf.DUMMYFUNCTION("""COMPUTED_VALUE"""),919.2299999999996)</f>
        <v>919.23</v>
      </c>
      <c r="G75" s="34">
        <f>IFERROR(__xludf.DUMMYFUNCTION("""COMPUTED_VALUE"""),24761.84)</f>
        <v>24761.84</v>
      </c>
      <c r="H75" s="34">
        <f>IFERROR(__xludf.DUMMYFUNCTION("""COMPUTED_VALUE"""),24661.84)</f>
        <v>24661.84</v>
      </c>
      <c r="I75" s="40">
        <f>IFERROR(__xludf.DUMMYFUNCTION("""COMPUTED_VALUE"""),246.6184)</f>
        <v>246.6184</v>
      </c>
      <c r="J75" s="40">
        <f>IFERROR(__xludf.DUMMYFUNCTION("""COMPUTED_VALUE"""),0.0)</f>
        <v>0</v>
      </c>
      <c r="K75" s="34">
        <f>IFERROR(__xludf.DUMMYFUNCTION("""COMPUTED_VALUE"""),0.0)</f>
        <v>0</v>
      </c>
      <c r="L75" s="37" t="b">
        <v>0</v>
      </c>
      <c r="M75" s="28"/>
    </row>
    <row r="76">
      <c r="A76" s="32">
        <f>IFERROR(__xludf.DUMMYFUNCTION("""COMPUTED_VALUE"""),2.0255216E7)</f>
        <v>20255216</v>
      </c>
      <c r="B76" s="32" t="str">
        <f>IFERROR(__xludf.DUMMYFUNCTION("""COMPUTED_VALUE"""),"Angie Zielinski")</f>
        <v>Angie Zielinski</v>
      </c>
      <c r="C76" s="32" t="b">
        <f>IFERROR(__xludf.DUMMYFUNCTION("""COMPUTED_VALUE"""),TRUE)</f>
        <v>1</v>
      </c>
      <c r="D76" s="33">
        <f>IFERROR(__xludf.DUMMYFUNCTION("""COMPUTED_VALUE"""),0.3491277772210937)</f>
        <v>0.3491277772</v>
      </c>
      <c r="E76" s="34">
        <f>IFERROR(__xludf.DUMMYFUNCTION("""COMPUTED_VALUE"""),10977.7)</f>
        <v>10977.7</v>
      </c>
      <c r="F76" s="34">
        <f>IFERROR(__xludf.DUMMYFUNCTION("""COMPUTED_VALUE"""),0.0)</f>
        <v>0</v>
      </c>
      <c r="G76" s="34">
        <f>IFERROR(__xludf.DUMMYFUNCTION("""COMPUTED_VALUE"""),10977.7)</f>
        <v>10977.7</v>
      </c>
      <c r="H76" s="34">
        <f>IFERROR(__xludf.DUMMYFUNCTION("""COMPUTED_VALUE"""),10977.7)</f>
        <v>10977.7</v>
      </c>
      <c r="I76" s="40">
        <f>IFERROR(__xludf.DUMMYFUNCTION("""COMPUTED_VALUE"""),109.77700000000002)</f>
        <v>109.777</v>
      </c>
      <c r="J76" s="40">
        <f>IFERROR(__xludf.DUMMYFUNCTION("""COMPUTED_VALUE"""),0.0)</f>
        <v>0</v>
      </c>
      <c r="K76" s="34">
        <f>IFERROR(__xludf.DUMMYFUNCTION("""COMPUTED_VALUE"""),0.0)</f>
        <v>0</v>
      </c>
      <c r="L76" s="37" t="b">
        <v>0</v>
      </c>
      <c r="M76" s="28"/>
    </row>
    <row r="77">
      <c r="A77" s="32">
        <f>IFERROR(__xludf.DUMMYFUNCTION("""COMPUTED_VALUE"""),2.0255217E7)</f>
        <v>20255217</v>
      </c>
      <c r="B77" s="32" t="str">
        <f>IFERROR(__xludf.DUMMYFUNCTION("""COMPUTED_VALUE"""),"Joseph  Abke")</f>
        <v>Joseph  Abke</v>
      </c>
      <c r="C77" s="32" t="b">
        <f>IFERROR(__xludf.DUMMYFUNCTION("""COMPUTED_VALUE"""),TRUE)</f>
        <v>1</v>
      </c>
      <c r="D77" s="33">
        <f>IFERROR(__xludf.DUMMYFUNCTION("""COMPUTED_VALUE"""),0.5107012716591061)</f>
        <v>0.5107012717</v>
      </c>
      <c r="E77" s="34">
        <f>IFERROR(__xludf.DUMMYFUNCTION("""COMPUTED_VALUE"""),3518.79)</f>
        <v>3518.79</v>
      </c>
      <c r="F77" s="34">
        <f>IFERROR(__xludf.DUMMYFUNCTION("""COMPUTED_VALUE"""),515.31)</f>
        <v>515.31</v>
      </c>
      <c r="G77" s="34">
        <f>IFERROR(__xludf.DUMMYFUNCTION("""COMPUTED_VALUE"""),4034.1)</f>
        <v>4034.1</v>
      </c>
      <c r="H77" s="34">
        <f>IFERROR(__xludf.DUMMYFUNCTION("""COMPUTED_VALUE"""),4034.1)</f>
        <v>4034.1</v>
      </c>
      <c r="I77" s="40">
        <f>IFERROR(__xludf.DUMMYFUNCTION("""COMPUTED_VALUE"""),40.341)</f>
        <v>40.341</v>
      </c>
      <c r="J77" s="40">
        <f>IFERROR(__xludf.DUMMYFUNCTION("""COMPUTED_VALUE"""),0.0)</f>
        <v>0</v>
      </c>
      <c r="K77" s="34">
        <f>IFERROR(__xludf.DUMMYFUNCTION("""COMPUTED_VALUE"""),0.0)</f>
        <v>0</v>
      </c>
      <c r="L77" s="37" t="b">
        <v>0</v>
      </c>
      <c r="M77" s="28"/>
    </row>
    <row r="78">
      <c r="A78" s="32">
        <f>IFERROR(__xludf.DUMMYFUNCTION("""COMPUTED_VALUE"""),2.0255218E7)</f>
        <v>20255218</v>
      </c>
      <c r="B78" s="32" t="str">
        <f>IFERROR(__xludf.DUMMYFUNCTION("""COMPUTED_VALUE"""),"Todd Gaerke")</f>
        <v>Todd Gaerke</v>
      </c>
      <c r="C78" s="32" t="b">
        <f>IFERROR(__xludf.DUMMYFUNCTION("""COMPUTED_VALUE"""),TRUE)</f>
        <v>1</v>
      </c>
      <c r="D78" s="33">
        <f>IFERROR(__xludf.DUMMYFUNCTION("""COMPUTED_VALUE"""),0.4438999520153551)</f>
        <v>0.443899952</v>
      </c>
      <c r="E78" s="34">
        <f>IFERROR(__xludf.DUMMYFUNCTION("""COMPUTED_VALUE"""),1467.58)</f>
        <v>1467.58</v>
      </c>
      <c r="F78" s="34">
        <f>IFERROR(__xludf.DUMMYFUNCTION("""COMPUTED_VALUE"""),199.62000000000012)</f>
        <v>199.62</v>
      </c>
      <c r="G78" s="34">
        <f>IFERROR(__xludf.DUMMYFUNCTION("""COMPUTED_VALUE"""),1667.2)</f>
        <v>1667.2</v>
      </c>
      <c r="H78" s="34">
        <f>IFERROR(__xludf.DUMMYFUNCTION("""COMPUTED_VALUE"""),1667.2)</f>
        <v>1667.2</v>
      </c>
      <c r="I78" s="40">
        <f>IFERROR(__xludf.DUMMYFUNCTION("""COMPUTED_VALUE"""),16.672)</f>
        <v>16.672</v>
      </c>
      <c r="J78" s="40">
        <f>IFERROR(__xludf.DUMMYFUNCTION("""COMPUTED_VALUE"""),0.0)</f>
        <v>0</v>
      </c>
      <c r="K78" s="34">
        <f>IFERROR(__xludf.DUMMYFUNCTION("""COMPUTED_VALUE"""),0.0)</f>
        <v>0</v>
      </c>
      <c r="L78" s="37" t="b">
        <v>0</v>
      </c>
      <c r="M78" s="28"/>
    </row>
    <row r="79">
      <c r="A79" s="32">
        <f>IFERROR(__xludf.DUMMYFUNCTION("""COMPUTED_VALUE"""),2.0255219E7)</f>
        <v>20255219</v>
      </c>
      <c r="B79" s="32" t="str">
        <f>IFERROR(__xludf.DUMMYFUNCTION("""COMPUTED_VALUE"""),"Cindy Moebius")</f>
        <v>Cindy Moebius</v>
      </c>
      <c r="C79" s="32" t="b">
        <f>IFERROR(__xludf.DUMMYFUNCTION("""COMPUTED_VALUE"""),TRUE)</f>
        <v>1</v>
      </c>
      <c r="D79" s="33">
        <f>IFERROR(__xludf.DUMMYFUNCTION("""COMPUTED_VALUE"""),0.5131178194658248)</f>
        <v>0.5131178195</v>
      </c>
      <c r="E79" s="34">
        <f>IFERROR(__xludf.DUMMYFUNCTION("""COMPUTED_VALUE"""),5749.05)</f>
        <v>5749.05</v>
      </c>
      <c r="F79" s="34">
        <f>IFERROR(__xludf.DUMMYFUNCTION("""COMPUTED_VALUE"""),0.0)</f>
        <v>0</v>
      </c>
      <c r="G79" s="34">
        <f>IFERROR(__xludf.DUMMYFUNCTION("""COMPUTED_VALUE"""),5749.05)</f>
        <v>5749.05</v>
      </c>
      <c r="H79" s="34">
        <f>IFERROR(__xludf.DUMMYFUNCTION("""COMPUTED_VALUE"""),5749.05)</f>
        <v>5749.05</v>
      </c>
      <c r="I79" s="40">
        <f>IFERROR(__xludf.DUMMYFUNCTION("""COMPUTED_VALUE"""),57.490500000000004)</f>
        <v>57.4905</v>
      </c>
      <c r="J79" s="40">
        <f>IFERROR(__xludf.DUMMYFUNCTION("""COMPUTED_VALUE"""),0.0)</f>
        <v>0</v>
      </c>
      <c r="K79" s="34">
        <f>IFERROR(__xludf.DUMMYFUNCTION("""COMPUTED_VALUE"""),0.0)</f>
        <v>0</v>
      </c>
      <c r="L79" s="37" t="b">
        <v>0</v>
      </c>
      <c r="M79" s="28"/>
    </row>
    <row r="80">
      <c r="A80" s="32">
        <f>IFERROR(__xludf.DUMMYFUNCTION("""COMPUTED_VALUE"""),2.025522E7)</f>
        <v>20255220</v>
      </c>
      <c r="B80" s="32" t="str">
        <f>IFERROR(__xludf.DUMMYFUNCTION("""COMPUTED_VALUE"""),"Dan Moorhead")</f>
        <v>Dan Moorhead</v>
      </c>
      <c r="C80" s="32" t="b">
        <f>IFERROR(__xludf.DUMMYFUNCTION("""COMPUTED_VALUE"""),TRUE)</f>
        <v>1</v>
      </c>
      <c r="D80" s="33">
        <f>IFERROR(__xludf.DUMMYFUNCTION("""COMPUTED_VALUE"""),0.6370532352167245)</f>
        <v>0.6370532352</v>
      </c>
      <c r="E80" s="34">
        <f>IFERROR(__xludf.DUMMYFUNCTION("""COMPUTED_VALUE"""),1102.09)</f>
        <v>1102.09</v>
      </c>
      <c r="F80" s="34">
        <f>IFERROR(__xludf.DUMMYFUNCTION("""COMPUTED_VALUE"""),0.0)</f>
        <v>0</v>
      </c>
      <c r="G80" s="34">
        <f>IFERROR(__xludf.DUMMYFUNCTION("""COMPUTED_VALUE"""),1102.09)</f>
        <v>1102.09</v>
      </c>
      <c r="H80" s="34">
        <f>IFERROR(__xludf.DUMMYFUNCTION("""COMPUTED_VALUE"""),1102.09)</f>
        <v>1102.09</v>
      </c>
      <c r="I80" s="40">
        <f>IFERROR(__xludf.DUMMYFUNCTION("""COMPUTED_VALUE"""),11.0209)</f>
        <v>11.0209</v>
      </c>
      <c r="J80" s="40">
        <f>IFERROR(__xludf.DUMMYFUNCTION("""COMPUTED_VALUE"""),0.0)</f>
        <v>0</v>
      </c>
      <c r="K80" s="34">
        <f>IFERROR(__xludf.DUMMYFUNCTION("""COMPUTED_VALUE"""),0.0)</f>
        <v>0</v>
      </c>
      <c r="L80" s="37" t="b">
        <v>0</v>
      </c>
      <c r="M80" s="28"/>
    </row>
    <row r="81">
      <c r="A81" s="28">
        <f>IFERROR(__xludf.DUMMYFUNCTION("""COMPUTED_VALUE"""),2.0255221E7)</f>
        <v>20255221</v>
      </c>
      <c r="B81" s="28" t="str">
        <f>IFERROR(__xludf.DUMMYFUNCTION("""COMPUTED_VALUE"""),"Ashley Ferguson")</f>
        <v>Ashley Ferguson</v>
      </c>
      <c r="C81" s="51" t="b">
        <f>IFERROR(__xludf.DUMMYFUNCTION("""COMPUTED_VALUE"""),FALSE)</f>
        <v>0</v>
      </c>
      <c r="D81" s="51" t="str">
        <f>IFERROR(__xludf.DUMMYFUNCTION("""COMPUTED_VALUE"""),"")</f>
        <v/>
      </c>
      <c r="E81" s="29">
        <f>IFERROR(__xludf.DUMMYFUNCTION("""COMPUTED_VALUE"""),3300.0)</f>
        <v>3300</v>
      </c>
      <c r="F81" s="29">
        <f>IFERROR(__xludf.DUMMYFUNCTION("""COMPUTED_VALUE"""),0.0)</f>
        <v>0</v>
      </c>
      <c r="G81" s="29">
        <f>IFERROR(__xludf.DUMMYFUNCTION("""COMPUTED_VALUE"""),0.0)</f>
        <v>0</v>
      </c>
      <c r="H81" s="29">
        <f>IFERROR(__xludf.DUMMYFUNCTION("""COMPUTED_VALUE"""),0.0)</f>
        <v>0</v>
      </c>
      <c r="I81" s="52">
        <f>IFERROR(__xludf.DUMMYFUNCTION("""COMPUTED_VALUE"""),33.0)</f>
        <v>33</v>
      </c>
      <c r="J81" s="52">
        <f>IFERROR(__xludf.DUMMYFUNCTION("""COMPUTED_VALUE"""),0.0)</f>
        <v>0</v>
      </c>
      <c r="K81" s="29">
        <f>IFERROR(__xludf.DUMMYFUNCTION("""COMPUTED_VALUE"""),0.0)</f>
        <v>0</v>
      </c>
      <c r="L81" s="28" t="b">
        <v>0</v>
      </c>
      <c r="M81" s="28"/>
    </row>
    <row r="82">
      <c r="A82" s="32">
        <f>IFERROR(__xludf.DUMMYFUNCTION("""COMPUTED_VALUE"""),2.0255222E7)</f>
        <v>20255222</v>
      </c>
      <c r="B82" s="32" t="str">
        <f>IFERROR(__xludf.DUMMYFUNCTION("""COMPUTED_VALUE"""),"INS - Eric &amp; Betty Mitchell")</f>
        <v>INS - Eric &amp; Betty Mitchell</v>
      </c>
      <c r="C82" s="32" t="b">
        <f>IFERROR(__xludf.DUMMYFUNCTION("""COMPUTED_VALUE"""),TRUE)</f>
        <v>1</v>
      </c>
      <c r="D82" s="33" t="str">
        <f>IFERROR(__xludf.DUMMYFUNCTION("""COMPUTED_VALUE"""),"")</f>
        <v/>
      </c>
      <c r="E82" s="34">
        <f>IFERROR(__xludf.DUMMYFUNCTION("""COMPUTED_VALUE"""),0.0)</f>
        <v>0</v>
      </c>
      <c r="F82" s="34">
        <f>IFERROR(__xludf.DUMMYFUNCTION("""COMPUTED_VALUE"""),0.0)</f>
        <v>0</v>
      </c>
      <c r="G82" s="34">
        <f>IFERROR(__xludf.DUMMYFUNCTION("""COMPUTED_VALUE"""),0.0)</f>
        <v>0</v>
      </c>
      <c r="H82" s="34">
        <f>IFERROR(__xludf.DUMMYFUNCTION("""COMPUTED_VALUE"""),0.0)</f>
        <v>0</v>
      </c>
      <c r="I82" s="40">
        <f>IFERROR(__xludf.DUMMYFUNCTION("""COMPUTED_VALUE"""),0.0)</f>
        <v>0</v>
      </c>
      <c r="J82" s="40">
        <f>IFERROR(__xludf.DUMMYFUNCTION("""COMPUTED_VALUE"""),0.0)</f>
        <v>0</v>
      </c>
      <c r="K82" s="34">
        <f>IFERROR(__xludf.DUMMYFUNCTION("""COMPUTED_VALUE"""),0.0)</f>
        <v>0</v>
      </c>
      <c r="L82" s="37" t="b">
        <v>0</v>
      </c>
      <c r="M82" s="28"/>
    </row>
    <row r="83">
      <c r="A83" s="28">
        <f>IFERROR(__xludf.DUMMYFUNCTION("""COMPUTED_VALUE"""),2.0255223E7)</f>
        <v>20255223</v>
      </c>
      <c r="B83" s="28" t="str">
        <f>IFERROR(__xludf.DUMMYFUNCTION("""COMPUTED_VALUE"""),"Brian Resides")</f>
        <v>Brian Resides</v>
      </c>
      <c r="C83" s="51" t="b">
        <f>IFERROR(__xludf.DUMMYFUNCTION("""COMPUTED_VALUE"""),FALSE)</f>
        <v>0</v>
      </c>
      <c r="D83" s="51" t="str">
        <f>IFERROR(__xludf.DUMMYFUNCTION("""COMPUTED_VALUE"""),"")</f>
        <v/>
      </c>
      <c r="E83" s="29">
        <f>IFERROR(__xludf.DUMMYFUNCTION("""COMPUTED_VALUE"""),7534.47)</f>
        <v>7534.47</v>
      </c>
      <c r="F83" s="29">
        <f>IFERROR(__xludf.DUMMYFUNCTION("""COMPUTED_VALUE"""),0.0)</f>
        <v>0</v>
      </c>
      <c r="G83" s="29">
        <f>IFERROR(__xludf.DUMMYFUNCTION("""COMPUTED_VALUE"""),0.0)</f>
        <v>0</v>
      </c>
      <c r="H83" s="29">
        <f>IFERROR(__xludf.DUMMYFUNCTION("""COMPUTED_VALUE"""),0.0)</f>
        <v>0</v>
      </c>
      <c r="I83" s="52">
        <f>IFERROR(__xludf.DUMMYFUNCTION("""COMPUTED_VALUE"""),75.3447)</f>
        <v>75.3447</v>
      </c>
      <c r="J83" s="52">
        <f>IFERROR(__xludf.DUMMYFUNCTION("""COMPUTED_VALUE"""),0.0)</f>
        <v>0</v>
      </c>
      <c r="K83" s="29">
        <f>IFERROR(__xludf.DUMMYFUNCTION("""COMPUTED_VALUE"""),0.0)</f>
        <v>0</v>
      </c>
      <c r="L83" s="28" t="b">
        <v>0</v>
      </c>
      <c r="M83" s="28"/>
    </row>
    <row r="84">
      <c r="A84" s="28">
        <f>IFERROR(__xludf.DUMMYFUNCTION("""COMPUTED_VALUE"""),2.0255224E7)</f>
        <v>20255224</v>
      </c>
      <c r="B84" s="28" t="str">
        <f>IFERROR(__xludf.DUMMYFUNCTION("""COMPUTED_VALUE"""),"Joe Franke")</f>
        <v>Joe Franke</v>
      </c>
      <c r="C84" s="51" t="b">
        <f>IFERROR(__xludf.DUMMYFUNCTION("""COMPUTED_VALUE"""),FALSE)</f>
        <v>0</v>
      </c>
      <c r="D84" s="51" t="str">
        <f>IFERROR(__xludf.DUMMYFUNCTION("""COMPUTED_VALUE"""),"")</f>
        <v/>
      </c>
      <c r="E84" s="29">
        <f>IFERROR(__xludf.DUMMYFUNCTION("""COMPUTED_VALUE"""),0.0)</f>
        <v>0</v>
      </c>
      <c r="F84" s="29">
        <f>IFERROR(__xludf.DUMMYFUNCTION("""COMPUTED_VALUE"""),0.0)</f>
        <v>0</v>
      </c>
      <c r="G84" s="29">
        <f>IFERROR(__xludf.DUMMYFUNCTION("""COMPUTED_VALUE"""),0.0)</f>
        <v>0</v>
      </c>
      <c r="H84" s="29">
        <f>IFERROR(__xludf.DUMMYFUNCTION("""COMPUTED_VALUE"""),0.0)</f>
        <v>0</v>
      </c>
      <c r="I84" s="52">
        <f>IFERROR(__xludf.DUMMYFUNCTION("""COMPUTED_VALUE"""),0.0)</f>
        <v>0</v>
      </c>
      <c r="J84" s="52">
        <f>IFERROR(__xludf.DUMMYFUNCTION("""COMPUTED_VALUE"""),0.0)</f>
        <v>0</v>
      </c>
      <c r="K84" s="29">
        <f>IFERROR(__xludf.DUMMYFUNCTION("""COMPUTED_VALUE"""),0.0)</f>
        <v>0</v>
      </c>
      <c r="L84" s="28" t="b">
        <v>0</v>
      </c>
      <c r="M84" s="28"/>
    </row>
    <row r="85">
      <c r="A85" s="32">
        <f>IFERROR(__xludf.DUMMYFUNCTION("""COMPUTED_VALUE"""),2.0255225E7)</f>
        <v>20255225</v>
      </c>
      <c r="B85" s="32" t="str">
        <f>IFERROR(__xludf.DUMMYFUNCTION("""COMPUTED_VALUE"""),"Russell Evans")</f>
        <v>Russell Evans</v>
      </c>
      <c r="C85" s="32" t="b">
        <f>IFERROR(__xludf.DUMMYFUNCTION("""COMPUTED_VALUE"""),TRUE)</f>
        <v>1</v>
      </c>
      <c r="D85" s="33">
        <f>IFERROR(__xludf.DUMMYFUNCTION("""COMPUTED_VALUE"""),0.4295030329621205)</f>
        <v>0.429503033</v>
      </c>
      <c r="E85" s="34">
        <f>IFERROR(__xludf.DUMMYFUNCTION("""COMPUTED_VALUE"""),9159.35)</f>
        <v>9159.35</v>
      </c>
      <c r="F85" s="34">
        <f>IFERROR(__xludf.DUMMYFUNCTION("""COMPUTED_VALUE"""),504.46999999999935)</f>
        <v>504.47</v>
      </c>
      <c r="G85" s="34">
        <f>IFERROR(__xludf.DUMMYFUNCTION("""COMPUTED_VALUE"""),9663.82)</f>
        <v>9663.82</v>
      </c>
      <c r="H85" s="34">
        <f>IFERROR(__xludf.DUMMYFUNCTION("""COMPUTED_VALUE"""),9663.82)</f>
        <v>9663.82</v>
      </c>
      <c r="I85" s="40">
        <f>IFERROR(__xludf.DUMMYFUNCTION("""COMPUTED_VALUE"""),96.6382)</f>
        <v>96.6382</v>
      </c>
      <c r="J85" s="40">
        <f>IFERROR(__xludf.DUMMYFUNCTION("""COMPUTED_VALUE"""),0.0)</f>
        <v>0</v>
      </c>
      <c r="K85" s="34">
        <f>IFERROR(__xludf.DUMMYFUNCTION("""COMPUTED_VALUE"""),0.0)</f>
        <v>0</v>
      </c>
      <c r="L85" s="37" t="b">
        <v>0</v>
      </c>
      <c r="M85" s="28"/>
    </row>
    <row r="86">
      <c r="A86" s="28">
        <f>IFERROR(__xludf.DUMMYFUNCTION("""COMPUTED_VALUE"""),2.0255226E7)</f>
        <v>20255226</v>
      </c>
      <c r="B86" s="28" t="str">
        <f>IFERROR(__xludf.DUMMYFUNCTION("""COMPUTED_VALUE"""),"Mark Grimes")</f>
        <v>Mark Grimes</v>
      </c>
      <c r="C86" s="51" t="b">
        <f>IFERROR(__xludf.DUMMYFUNCTION("""COMPUTED_VALUE"""),FALSE)</f>
        <v>0</v>
      </c>
      <c r="D86" s="51" t="str">
        <f>IFERROR(__xludf.DUMMYFUNCTION("""COMPUTED_VALUE"""),"")</f>
        <v/>
      </c>
      <c r="E86" s="29">
        <f>IFERROR(__xludf.DUMMYFUNCTION("""COMPUTED_VALUE"""),25990.35)</f>
        <v>25990.35</v>
      </c>
      <c r="F86" s="29">
        <f>IFERROR(__xludf.DUMMYFUNCTION("""COMPUTED_VALUE"""),0.0)</f>
        <v>0</v>
      </c>
      <c r="G86" s="29">
        <f>IFERROR(__xludf.DUMMYFUNCTION("""COMPUTED_VALUE"""),0.0)</f>
        <v>0</v>
      </c>
      <c r="H86" s="29">
        <f>IFERROR(__xludf.DUMMYFUNCTION("""COMPUTED_VALUE"""),0.0)</f>
        <v>0</v>
      </c>
      <c r="I86" s="52">
        <f>IFERROR(__xludf.DUMMYFUNCTION("""COMPUTED_VALUE"""),1299.5175)</f>
        <v>1299.5175</v>
      </c>
      <c r="J86" s="52">
        <f>IFERROR(__xludf.DUMMYFUNCTION("""COMPUTED_VALUE"""),0.0)</f>
        <v>0</v>
      </c>
      <c r="K86" s="29">
        <f>IFERROR(__xludf.DUMMYFUNCTION("""COMPUTED_VALUE"""),0.0)</f>
        <v>0</v>
      </c>
      <c r="L86" s="28" t="b">
        <v>0</v>
      </c>
      <c r="M86" s="28"/>
    </row>
    <row r="87">
      <c r="A87" s="32">
        <f>IFERROR(__xludf.DUMMYFUNCTION("""COMPUTED_VALUE"""),2.0255227E7)</f>
        <v>20255227</v>
      </c>
      <c r="B87" s="32" t="str">
        <f>IFERROR(__xludf.DUMMYFUNCTION("""COMPUTED_VALUE"""),"Dustin Myers")</f>
        <v>Dustin Myers</v>
      </c>
      <c r="C87" s="32" t="b">
        <f>IFERROR(__xludf.DUMMYFUNCTION("""COMPUTED_VALUE"""),TRUE)</f>
        <v>1</v>
      </c>
      <c r="D87" s="33">
        <f>IFERROR(__xludf.DUMMYFUNCTION("""COMPUTED_VALUE"""),0.4501135371179039)</f>
        <v>0.4501135371</v>
      </c>
      <c r="E87" s="34">
        <f>IFERROR(__xludf.DUMMYFUNCTION("""COMPUTED_VALUE"""),1144.76)</f>
        <v>1144.76</v>
      </c>
      <c r="F87" s="34">
        <f>IFERROR(__xludf.DUMMYFUNCTION("""COMPUTED_VALUE"""),0.2400000000000091)</f>
        <v>0.24</v>
      </c>
      <c r="G87" s="34">
        <f>IFERROR(__xludf.DUMMYFUNCTION("""COMPUTED_VALUE"""),1144.76)</f>
        <v>1144.76</v>
      </c>
      <c r="H87" s="34">
        <f>IFERROR(__xludf.DUMMYFUNCTION("""COMPUTED_VALUE"""),1145.0)</f>
        <v>1145</v>
      </c>
      <c r="I87" s="40">
        <f>IFERROR(__xludf.DUMMYFUNCTION("""COMPUTED_VALUE"""),11.450000000000001)</f>
        <v>11.45</v>
      </c>
      <c r="J87" s="40">
        <f>IFERROR(__xludf.DUMMYFUNCTION("""COMPUTED_VALUE"""),0.0)</f>
        <v>0</v>
      </c>
      <c r="K87" s="34">
        <f>IFERROR(__xludf.DUMMYFUNCTION("""COMPUTED_VALUE"""),0.0)</f>
        <v>0</v>
      </c>
      <c r="L87" s="37" t="b">
        <v>0</v>
      </c>
      <c r="M87" s="28"/>
    </row>
    <row r="88">
      <c r="A88" s="47">
        <f>IFERROR(__xludf.DUMMYFUNCTION("""COMPUTED_VALUE"""),2.0255229E7)</f>
        <v>20255229</v>
      </c>
      <c r="B88" s="47" t="str">
        <f>IFERROR(__xludf.DUMMYFUNCTION("""COMPUTED_VALUE"""),"Mary Mastronicola")</f>
        <v>Mary Mastronicola</v>
      </c>
      <c r="C88" s="47" t="b">
        <f>IFERROR(__xludf.DUMMYFUNCTION("""COMPUTED_VALUE"""),TRUE)</f>
        <v>1</v>
      </c>
      <c r="D88" s="48">
        <f>IFERROR(__xludf.DUMMYFUNCTION("""COMPUTED_VALUE"""),0.9999583333333334)</f>
        <v>0.9999583333</v>
      </c>
      <c r="E88" s="49">
        <f>IFERROR(__xludf.DUMMYFUNCTION("""COMPUTED_VALUE"""),240.0)</f>
        <v>240</v>
      </c>
      <c r="F88" s="49">
        <f>IFERROR(__xludf.DUMMYFUNCTION("""COMPUTED_VALUE"""),0.0)</f>
        <v>0</v>
      </c>
      <c r="G88" s="49">
        <f>IFERROR(__xludf.DUMMYFUNCTION("""COMPUTED_VALUE"""),240.0)</f>
        <v>240</v>
      </c>
      <c r="H88" s="49">
        <f>IFERROR(__xludf.DUMMYFUNCTION("""COMPUTED_VALUE"""),240.0)</f>
        <v>240</v>
      </c>
      <c r="I88" s="50">
        <f>IFERROR(__xludf.DUMMYFUNCTION("""COMPUTED_VALUE"""),2.4)</f>
        <v>2.4</v>
      </c>
      <c r="J88" s="50">
        <f>IFERROR(__xludf.DUMMYFUNCTION("""COMPUTED_VALUE"""),0.0)</f>
        <v>0</v>
      </c>
      <c r="K88" s="49">
        <f>IFERROR(__xludf.DUMMYFUNCTION("""COMPUTED_VALUE"""),2.4)</f>
        <v>2.4</v>
      </c>
      <c r="L88" s="47" t="b">
        <v>0</v>
      </c>
      <c r="M88" s="28"/>
    </row>
    <row r="89">
      <c r="A89" s="32">
        <f>IFERROR(__xludf.DUMMYFUNCTION("""COMPUTED_VALUE"""),2.025523E7)</f>
        <v>20255230</v>
      </c>
      <c r="B89" s="32" t="str">
        <f>IFERROR(__xludf.DUMMYFUNCTION("""COMPUTED_VALUE"""),"Dan Arnold")</f>
        <v>Dan Arnold</v>
      </c>
      <c r="C89" s="32" t="b">
        <f>IFERROR(__xludf.DUMMYFUNCTION("""COMPUTED_VALUE"""),TRUE)</f>
        <v>1</v>
      </c>
      <c r="D89" s="33">
        <f>IFERROR(__xludf.DUMMYFUNCTION("""COMPUTED_VALUE"""),0.4941932004804275)</f>
        <v>0.4941932005</v>
      </c>
      <c r="E89" s="34">
        <f>IFERROR(__xludf.DUMMYFUNCTION("""COMPUTED_VALUE"""),1984.85)</f>
        <v>1984.85</v>
      </c>
      <c r="F89" s="34">
        <f>IFERROR(__xludf.DUMMYFUNCTION("""COMPUTED_VALUE"""),55.0)</f>
        <v>55</v>
      </c>
      <c r="G89" s="34">
        <f>IFERROR(__xludf.DUMMYFUNCTION("""COMPUTED_VALUE"""),2039.85)</f>
        <v>2039.85</v>
      </c>
      <c r="H89" s="34">
        <f>IFERROR(__xludf.DUMMYFUNCTION("""COMPUTED_VALUE"""),2039.85)</f>
        <v>2039.85</v>
      </c>
      <c r="I89" s="40">
        <f>IFERROR(__xludf.DUMMYFUNCTION("""COMPUTED_VALUE"""),20.3985)</f>
        <v>20.3985</v>
      </c>
      <c r="J89" s="40">
        <f>IFERROR(__xludf.DUMMYFUNCTION("""COMPUTED_VALUE"""),0.0)</f>
        <v>0</v>
      </c>
      <c r="K89" s="34">
        <f>IFERROR(__xludf.DUMMYFUNCTION("""COMPUTED_VALUE"""),0.0)</f>
        <v>0</v>
      </c>
      <c r="L89" s="37" t="b">
        <v>0</v>
      </c>
      <c r="M89" s="28"/>
    </row>
    <row r="90">
      <c r="A90" s="32">
        <f>IFERROR(__xludf.DUMMYFUNCTION("""COMPUTED_VALUE"""),2.0255231E7)</f>
        <v>20255231</v>
      </c>
      <c r="B90" s="32" t="str">
        <f>IFERROR(__xludf.DUMMYFUNCTION("""COMPUTED_VALUE"""),"Chris Long")</f>
        <v>Chris Long</v>
      </c>
      <c r="C90" s="32" t="b">
        <f>IFERROR(__xludf.DUMMYFUNCTION("""COMPUTED_VALUE"""),TRUE)</f>
        <v>1</v>
      </c>
      <c r="D90" s="33">
        <f>IFERROR(__xludf.DUMMYFUNCTION("""COMPUTED_VALUE"""),0.38463582945832964)</f>
        <v>0.3846358295</v>
      </c>
      <c r="E90" s="34">
        <f>IFERROR(__xludf.DUMMYFUNCTION("""COMPUTED_VALUE"""),16542.52)</f>
        <v>16542.52</v>
      </c>
      <c r="F90" s="34">
        <f>IFERROR(__xludf.DUMMYFUNCTION("""COMPUTED_VALUE"""),162.84000000000015)</f>
        <v>162.84</v>
      </c>
      <c r="G90" s="34">
        <f>IFERROR(__xludf.DUMMYFUNCTION("""COMPUTED_VALUE"""),16705.36)</f>
        <v>16705.36</v>
      </c>
      <c r="H90" s="34">
        <f>IFERROR(__xludf.DUMMYFUNCTION("""COMPUTED_VALUE"""),16705.36)</f>
        <v>16705.36</v>
      </c>
      <c r="I90" s="40">
        <f>IFERROR(__xludf.DUMMYFUNCTION("""COMPUTED_VALUE"""),167.05360000000002)</f>
        <v>167.0536</v>
      </c>
      <c r="J90" s="40">
        <f>IFERROR(__xludf.DUMMYFUNCTION("""COMPUTED_VALUE"""),0.0)</f>
        <v>0</v>
      </c>
      <c r="K90" s="34">
        <f>IFERROR(__xludf.DUMMYFUNCTION("""COMPUTED_VALUE"""),0.0)</f>
        <v>0</v>
      </c>
      <c r="L90" s="37" t="b">
        <v>0</v>
      </c>
      <c r="M90" s="28"/>
    </row>
    <row r="91">
      <c r="A91" s="32">
        <f>IFERROR(__xludf.DUMMYFUNCTION("""COMPUTED_VALUE"""),2.0255232E7)</f>
        <v>20255232</v>
      </c>
      <c r="B91" s="32" t="str">
        <f>IFERROR(__xludf.DUMMYFUNCTION("""COMPUTED_VALUE"""),"Derek Fink")</f>
        <v>Derek Fink</v>
      </c>
      <c r="C91" s="32" t="b">
        <f>IFERROR(__xludf.DUMMYFUNCTION("""COMPUTED_VALUE"""),TRUE)</f>
        <v>1</v>
      </c>
      <c r="D91" s="39">
        <f>IFERROR(__xludf.DUMMYFUNCTION("""COMPUTED_VALUE"""),0.29154957560565287)</f>
        <v>0.2915495756</v>
      </c>
      <c r="E91" s="34">
        <f>IFERROR(__xludf.DUMMYFUNCTION("""COMPUTED_VALUE"""),22652.96)</f>
        <v>22652.96</v>
      </c>
      <c r="F91" s="34">
        <f>IFERROR(__xludf.DUMMYFUNCTION("""COMPUTED_VALUE"""),-2419.4199999999983)</f>
        <v>-2419.42</v>
      </c>
      <c r="G91" s="34">
        <f>IFERROR(__xludf.DUMMYFUNCTION("""COMPUTED_VALUE"""),20233.54)</f>
        <v>20233.54</v>
      </c>
      <c r="H91" s="34">
        <f>IFERROR(__xludf.DUMMYFUNCTION("""COMPUTED_VALUE"""),20233.54)</f>
        <v>20233.54</v>
      </c>
      <c r="I91" s="40">
        <f>IFERROR(__xludf.DUMMYFUNCTION("""COMPUTED_VALUE"""),202.33540000000002)</f>
        <v>202.3354</v>
      </c>
      <c r="J91" s="40">
        <f>IFERROR(__xludf.DUMMYFUNCTION("""COMPUTED_VALUE"""),0.0)</f>
        <v>0</v>
      </c>
      <c r="K91" s="34">
        <f>IFERROR(__xludf.DUMMYFUNCTION("""COMPUTED_VALUE"""),0.0)</f>
        <v>0</v>
      </c>
      <c r="L91" s="37" t="b">
        <v>0</v>
      </c>
      <c r="M91" s="28"/>
    </row>
    <row r="92">
      <c r="A92" s="32">
        <f>IFERROR(__xludf.DUMMYFUNCTION("""COMPUTED_VALUE"""),2.0255233E7)</f>
        <v>20255233</v>
      </c>
      <c r="B92" s="32" t="str">
        <f>IFERROR(__xludf.DUMMYFUNCTION("""COMPUTED_VALUE"""),"Tara Zimmer")</f>
        <v>Tara Zimmer</v>
      </c>
      <c r="C92" s="32" t="b">
        <f>IFERROR(__xludf.DUMMYFUNCTION("""COMPUTED_VALUE"""),TRUE)</f>
        <v>1</v>
      </c>
      <c r="D92" s="39">
        <f>IFERROR(__xludf.DUMMYFUNCTION("""COMPUTED_VALUE"""),0.2221921726267307)</f>
        <v>0.2221921726</v>
      </c>
      <c r="E92" s="34">
        <f>IFERROR(__xludf.DUMMYFUNCTION("""COMPUTED_VALUE"""),9761.64)</f>
        <v>9761.64</v>
      </c>
      <c r="F92" s="34">
        <f>IFERROR(__xludf.DUMMYFUNCTION("""COMPUTED_VALUE"""),0.0)</f>
        <v>0</v>
      </c>
      <c r="G92" s="34">
        <f>IFERROR(__xludf.DUMMYFUNCTION("""COMPUTED_VALUE"""),9761.64)</f>
        <v>9761.64</v>
      </c>
      <c r="H92" s="34">
        <f>IFERROR(__xludf.DUMMYFUNCTION("""COMPUTED_VALUE"""),9761.64)</f>
        <v>9761.64</v>
      </c>
      <c r="I92" s="40">
        <f>IFERROR(__xludf.DUMMYFUNCTION("""COMPUTED_VALUE"""),97.6164)</f>
        <v>97.6164</v>
      </c>
      <c r="J92" s="40">
        <f>IFERROR(__xludf.DUMMYFUNCTION("""COMPUTED_VALUE"""),0.0)</f>
        <v>0</v>
      </c>
      <c r="K92" s="34">
        <f>IFERROR(__xludf.DUMMYFUNCTION("""COMPUTED_VALUE"""),0.0)</f>
        <v>0</v>
      </c>
      <c r="L92" s="37" t="b">
        <v>0</v>
      </c>
      <c r="M92" s="28"/>
    </row>
    <row r="93">
      <c r="A93" s="28" t="str">
        <f>IFERROR(__xludf.DUMMYFUNCTION("""COMPUTED_VALUE"""),"Grand Total")</f>
        <v>Grand Total</v>
      </c>
      <c r="B93" s="28"/>
      <c r="C93" s="28"/>
      <c r="D93" s="28"/>
      <c r="E93" s="29">
        <f>IFERROR(__xludf.DUMMYFUNCTION("""COMPUTED_VALUE"""),1158294.4400000002)</f>
        <v>1158294.44</v>
      </c>
      <c r="F93" s="29">
        <f>IFERROR(__xludf.DUMMYFUNCTION("""COMPUTED_VALUE"""),127429.66000000013)</f>
        <v>127429.66</v>
      </c>
      <c r="G93" s="29">
        <f>IFERROR(__xludf.DUMMYFUNCTION("""COMPUTED_VALUE"""),1114158.7800000003)</f>
        <v>1114158.78</v>
      </c>
      <c r="H93" s="29">
        <f>IFERROR(__xludf.DUMMYFUNCTION("""COMPUTED_VALUE"""),1279929.04)</f>
        <v>1279929.04</v>
      </c>
      <c r="I93" s="52">
        <f>IFERROR(__xludf.DUMMYFUNCTION("""COMPUTED_VALUE"""),12857.241000000004)</f>
        <v>12857.241</v>
      </c>
      <c r="J93" s="52">
        <f>IFERROR(__xludf.DUMMYFUNCTION("""COMPUTED_VALUE"""),0.0)</f>
        <v>0</v>
      </c>
      <c r="K93" s="29">
        <f>IFERROR(__xludf.DUMMYFUNCTION("""COMPUTED_VALUE"""),0.0)</f>
        <v>0</v>
      </c>
      <c r="L93" s="28" t="b">
        <v>0</v>
      </c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53"/>
      <c r="J94" s="52">
        <f>IFERROR(__xludf.DUMMYFUNCTION("""COMPUTED_VALUE"""),0.0)</f>
        <v>0</v>
      </c>
      <c r="K94" s="29">
        <f>IFERROR(__xludf.DUMMYFUNCTION("""COMPUTED_VALUE"""),0.0)</f>
        <v>0</v>
      </c>
      <c r="L94" s="28" t="b">
        <v>0</v>
      </c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53"/>
      <c r="J95" s="52">
        <f>IFERROR(__xludf.DUMMYFUNCTION("""COMPUTED_VALUE"""),0.0)</f>
        <v>0</v>
      </c>
      <c r="K95" s="29">
        <f>IFERROR(__xludf.DUMMYFUNCTION("""COMPUTED_VALUE"""),0.0)</f>
        <v>0</v>
      </c>
      <c r="L95" s="28" t="b">
        <v>0</v>
      </c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53"/>
      <c r="J96" s="52">
        <f>IFERROR(__xludf.DUMMYFUNCTION("""COMPUTED_VALUE"""),0.0)</f>
        <v>0</v>
      </c>
      <c r="K96" s="29">
        <f>IFERROR(__xludf.DUMMYFUNCTION("""COMPUTED_VALUE"""),0.0)</f>
        <v>0</v>
      </c>
      <c r="L96" s="28" t="b">
        <v>0</v>
      </c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53"/>
      <c r="J97" s="52">
        <f>IFERROR(__xludf.DUMMYFUNCTION("""COMPUTED_VALUE"""),0.0)</f>
        <v>0</v>
      </c>
      <c r="K97" s="29">
        <f>IFERROR(__xludf.DUMMYFUNCTION("""COMPUTED_VALUE"""),0.0)</f>
        <v>0</v>
      </c>
      <c r="L97" s="28" t="b">
        <v>0</v>
      </c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53"/>
      <c r="J98" s="52">
        <f>IFERROR(__xludf.DUMMYFUNCTION("""COMPUTED_VALUE"""),0.0)</f>
        <v>0</v>
      </c>
      <c r="K98" s="29">
        <f>IFERROR(__xludf.DUMMYFUNCTION("""COMPUTED_VALUE"""),0.0)</f>
        <v>0</v>
      </c>
      <c r="L98" s="28" t="b">
        <v>0</v>
      </c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53"/>
      <c r="J99" s="52">
        <f>IFERROR(__xludf.DUMMYFUNCTION("""COMPUTED_VALUE"""),0.0)</f>
        <v>0</v>
      </c>
      <c r="K99" s="29">
        <f>IFERROR(__xludf.DUMMYFUNCTION("""COMPUTED_VALUE"""),0.0)</f>
        <v>0</v>
      </c>
      <c r="L99" s="28" t="b">
        <v>0</v>
      </c>
      <c r="M99" s="28"/>
    </row>
    <row r="100">
      <c r="A100" s="28"/>
      <c r="B100" s="28"/>
      <c r="C100" s="28"/>
      <c r="D100" s="28"/>
      <c r="E100" s="28"/>
      <c r="F100" s="28"/>
      <c r="G100" s="28"/>
      <c r="H100" s="28"/>
      <c r="I100" s="54"/>
      <c r="J100" s="55">
        <f>IFERROR(__xludf.DUMMYFUNCTION("""COMPUTED_VALUE"""),0.0)</f>
        <v>0</v>
      </c>
      <c r="K100" s="56">
        <f>IFERROR(__xludf.DUMMYFUNCTION("""COMPUTED_VALUE"""),0.0)</f>
        <v>0</v>
      </c>
      <c r="L100" s="28" t="b">
        <v>0</v>
      </c>
      <c r="M100" s="28"/>
    </row>
    <row r="101">
      <c r="A101" s="57"/>
      <c r="B101" s="57"/>
      <c r="C101" s="57"/>
      <c r="D101" s="57"/>
      <c r="E101" s="57"/>
      <c r="F101" s="57"/>
      <c r="G101" s="57"/>
      <c r="H101" s="57"/>
      <c r="I101" s="54"/>
      <c r="J101" s="55">
        <f>IFERROR(__xludf.DUMMYFUNCTION("""COMPUTED_VALUE"""),0.0)</f>
        <v>0</v>
      </c>
      <c r="K101" s="56">
        <f>IFERROR(__xludf.DUMMYFUNCTION("""COMPUTED_VALUE"""),0.0)</f>
        <v>0</v>
      </c>
      <c r="L101" s="57"/>
      <c r="M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8"/>
      <c r="J102" s="59">
        <f>IFERROR(__xludf.DUMMYFUNCTION("""COMPUTED_VALUE"""),0.0)</f>
        <v>0</v>
      </c>
      <c r="K102" s="56">
        <f>IFERROR(__xludf.DUMMYFUNCTION("""COMPUTED_VALUE"""),0.0)</f>
        <v>0</v>
      </c>
      <c r="L102" s="57"/>
      <c r="M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8"/>
      <c r="J103" s="59">
        <f>IFERROR(__xludf.DUMMYFUNCTION("""COMPUTED_VALUE"""),0.0)</f>
        <v>0</v>
      </c>
      <c r="K103" s="56">
        <f>IFERROR(__xludf.DUMMYFUNCTION("""COMPUTED_VALUE"""),0.0)</f>
        <v>0</v>
      </c>
      <c r="L103" s="57"/>
      <c r="M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8"/>
      <c r="J104" s="59">
        <f>IFERROR(__xludf.DUMMYFUNCTION("""COMPUTED_VALUE"""),0.0)</f>
        <v>0</v>
      </c>
      <c r="K104" s="56">
        <f>IFERROR(__xludf.DUMMYFUNCTION("""COMPUTED_VALUE"""),0.0)</f>
        <v>0</v>
      </c>
      <c r="L104" s="57"/>
      <c r="M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8"/>
      <c r="J105" s="59">
        <f>IFERROR(__xludf.DUMMYFUNCTION("""COMPUTED_VALUE"""),0.0)</f>
        <v>0</v>
      </c>
      <c r="K105" s="56">
        <f>IFERROR(__xludf.DUMMYFUNCTION("""COMPUTED_VALUE"""),0.0)</f>
        <v>0</v>
      </c>
      <c r="L105" s="57"/>
      <c r="M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8"/>
      <c r="J106" s="59">
        <f>IFERROR(__xludf.DUMMYFUNCTION("""COMPUTED_VALUE"""),0.0)</f>
        <v>0</v>
      </c>
      <c r="K106" s="56">
        <f>IFERROR(__xludf.DUMMYFUNCTION("""COMPUTED_VALUE"""),0.0)</f>
        <v>0</v>
      </c>
      <c r="L106" s="57"/>
      <c r="M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8"/>
      <c r="J107" s="59">
        <f>IFERROR(__xludf.DUMMYFUNCTION("""COMPUTED_VALUE"""),0.0)</f>
        <v>0</v>
      </c>
      <c r="K107" s="56">
        <f>IFERROR(__xludf.DUMMYFUNCTION("""COMPUTED_VALUE"""),0.0)</f>
        <v>0</v>
      </c>
      <c r="L107" s="57"/>
      <c r="M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8"/>
      <c r="J108" s="59">
        <f>IFERROR(__xludf.DUMMYFUNCTION("""COMPUTED_VALUE"""),0.0)</f>
        <v>0</v>
      </c>
      <c r="K108" s="56">
        <f>IFERROR(__xludf.DUMMYFUNCTION("""COMPUTED_VALUE"""),0.0)</f>
        <v>0</v>
      </c>
      <c r="L108" s="57"/>
      <c r="M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8"/>
      <c r="J109" s="59">
        <f>IFERROR(__xludf.DUMMYFUNCTION("""COMPUTED_VALUE"""),0.0)</f>
        <v>0</v>
      </c>
      <c r="K109" s="56">
        <f>IFERROR(__xludf.DUMMYFUNCTION("""COMPUTED_VALUE"""),0.0)</f>
        <v>0</v>
      </c>
      <c r="L109" s="57"/>
      <c r="M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8"/>
      <c r="J110" s="59">
        <f>IFERROR(__xludf.DUMMYFUNCTION("""COMPUTED_VALUE"""),0.0)</f>
        <v>0</v>
      </c>
      <c r="K110" s="56">
        <f>IFERROR(__xludf.DUMMYFUNCTION("""COMPUTED_VALUE"""),0.0)</f>
        <v>0</v>
      </c>
      <c r="L110" s="57"/>
      <c r="M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8"/>
      <c r="J111" s="59">
        <f>IFERROR(__xludf.DUMMYFUNCTION("""COMPUTED_VALUE"""),0.0)</f>
        <v>0</v>
      </c>
      <c r="K111" s="56">
        <f>IFERROR(__xludf.DUMMYFUNCTION("""COMPUTED_VALUE"""),0.0)</f>
        <v>0</v>
      </c>
      <c r="L111" s="57"/>
      <c r="M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8"/>
      <c r="J112" s="59">
        <f>IFERROR(__xludf.DUMMYFUNCTION("""COMPUTED_VALUE"""),0.0)</f>
        <v>0</v>
      </c>
      <c r="K112" s="56">
        <f>IFERROR(__xludf.DUMMYFUNCTION("""COMPUTED_VALUE"""),0.0)</f>
        <v>0</v>
      </c>
      <c r="L112" s="57"/>
      <c r="M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8"/>
      <c r="J113" s="59">
        <f>IFERROR(__xludf.DUMMYFUNCTION("""COMPUTED_VALUE"""),0.0)</f>
        <v>0</v>
      </c>
      <c r="K113" s="56">
        <f>IFERROR(__xludf.DUMMYFUNCTION("""COMPUTED_VALUE"""),0.0)</f>
        <v>0</v>
      </c>
      <c r="L113" s="57"/>
      <c r="M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8"/>
      <c r="J114" s="59">
        <f>IFERROR(__xludf.DUMMYFUNCTION("""COMPUTED_VALUE"""),0.0)</f>
        <v>0</v>
      </c>
      <c r="K114" s="56">
        <f>IFERROR(__xludf.DUMMYFUNCTION("""COMPUTED_VALUE"""),0.0)</f>
        <v>0</v>
      </c>
      <c r="L114" s="57"/>
      <c r="M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8"/>
      <c r="J115" s="59">
        <f>IFERROR(__xludf.DUMMYFUNCTION("""COMPUTED_VALUE"""),0.0)</f>
        <v>0</v>
      </c>
      <c r="K115" s="56">
        <f>IFERROR(__xludf.DUMMYFUNCTION("""COMPUTED_VALUE"""),0.0)</f>
        <v>0</v>
      </c>
      <c r="L115" s="57"/>
      <c r="M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8"/>
      <c r="J116" s="59">
        <f>IFERROR(__xludf.DUMMYFUNCTION("""COMPUTED_VALUE"""),0.0)</f>
        <v>0</v>
      </c>
      <c r="K116" s="56">
        <f>IFERROR(__xludf.DUMMYFUNCTION("""COMPUTED_VALUE"""),0.0)</f>
        <v>0</v>
      </c>
      <c r="L116" s="57"/>
      <c r="M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8"/>
      <c r="J117" s="59">
        <f>IFERROR(__xludf.DUMMYFUNCTION("""COMPUTED_VALUE"""),0.0)</f>
        <v>0</v>
      </c>
      <c r="K117" s="56">
        <f>IFERROR(__xludf.DUMMYFUNCTION("""COMPUTED_VALUE"""),0.0)</f>
        <v>0</v>
      </c>
      <c r="L117" s="57"/>
      <c r="M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8"/>
      <c r="J118" s="59">
        <f>IFERROR(__xludf.DUMMYFUNCTION("""COMPUTED_VALUE"""),0.0)</f>
        <v>0</v>
      </c>
      <c r="K118" s="56">
        <f>IFERROR(__xludf.DUMMYFUNCTION("""COMPUTED_VALUE"""),0.0)</f>
        <v>0</v>
      </c>
      <c r="L118" s="57"/>
      <c r="M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8"/>
      <c r="J119" s="59">
        <f>IFERROR(__xludf.DUMMYFUNCTION("""COMPUTED_VALUE"""),0.0)</f>
        <v>0</v>
      </c>
      <c r="K119" s="56">
        <f>IFERROR(__xludf.DUMMYFUNCTION("""COMPUTED_VALUE"""),0.0)</f>
        <v>0</v>
      </c>
      <c r="L119" s="57"/>
      <c r="M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8"/>
      <c r="J120" s="59">
        <f>IFERROR(__xludf.DUMMYFUNCTION("""COMPUTED_VALUE"""),0.0)</f>
        <v>0</v>
      </c>
      <c r="K120" s="56">
        <f>IFERROR(__xludf.DUMMYFUNCTION("""COMPUTED_VALUE"""),0.0)</f>
        <v>0</v>
      </c>
      <c r="L120" s="57"/>
      <c r="M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8"/>
      <c r="J121" s="59">
        <f>IFERROR(__xludf.DUMMYFUNCTION("""COMPUTED_VALUE"""),0.0)</f>
        <v>0</v>
      </c>
      <c r="K121" s="56">
        <f>IFERROR(__xludf.DUMMYFUNCTION("""COMPUTED_VALUE"""),0.0)</f>
        <v>0</v>
      </c>
      <c r="L121" s="57"/>
      <c r="M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8"/>
      <c r="J122" s="59">
        <f>IFERROR(__xludf.DUMMYFUNCTION("""COMPUTED_VALUE"""),0.0)</f>
        <v>0</v>
      </c>
      <c r="K122" s="56">
        <f>IFERROR(__xludf.DUMMYFUNCTION("""COMPUTED_VALUE"""),0.0)</f>
        <v>0</v>
      </c>
      <c r="L122" s="57"/>
      <c r="M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8"/>
      <c r="J123" s="59">
        <f>IFERROR(__xludf.DUMMYFUNCTION("""COMPUTED_VALUE"""),0.0)</f>
        <v>0</v>
      </c>
      <c r="K123" s="56">
        <f>IFERROR(__xludf.DUMMYFUNCTION("""COMPUTED_VALUE"""),0.0)</f>
        <v>0</v>
      </c>
      <c r="L123" s="57"/>
      <c r="M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8"/>
      <c r="J124" s="59">
        <f>IFERROR(__xludf.DUMMYFUNCTION("""COMPUTED_VALUE"""),0.0)</f>
        <v>0</v>
      </c>
      <c r="K124" s="56">
        <f>IFERROR(__xludf.DUMMYFUNCTION("""COMPUTED_VALUE"""),0.0)</f>
        <v>0</v>
      </c>
      <c r="L124" s="57"/>
      <c r="M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8"/>
      <c r="J125" s="59">
        <f>IFERROR(__xludf.DUMMYFUNCTION("""COMPUTED_VALUE"""),0.0)</f>
        <v>0</v>
      </c>
      <c r="K125" s="56">
        <f>IFERROR(__xludf.DUMMYFUNCTION("""COMPUTED_VALUE"""),0.0)</f>
        <v>0</v>
      </c>
      <c r="L125" s="57"/>
      <c r="M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8"/>
      <c r="J126" s="59">
        <f>IFERROR(__xludf.DUMMYFUNCTION("""COMPUTED_VALUE"""),0.0)</f>
        <v>0</v>
      </c>
      <c r="K126" s="56">
        <f>IFERROR(__xludf.DUMMYFUNCTION("""COMPUTED_VALUE"""),0.0)</f>
        <v>0</v>
      </c>
      <c r="L126" s="57"/>
      <c r="M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8"/>
      <c r="J127" s="59">
        <f>IFERROR(__xludf.DUMMYFUNCTION("""COMPUTED_VALUE"""),0.0)</f>
        <v>0</v>
      </c>
      <c r="K127" s="56">
        <f>IFERROR(__xludf.DUMMYFUNCTION("""COMPUTED_VALUE"""),0.0)</f>
        <v>0</v>
      </c>
      <c r="L127" s="57"/>
      <c r="M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8"/>
      <c r="J128" s="59">
        <f>IFERROR(__xludf.DUMMYFUNCTION("""COMPUTED_VALUE"""),0.0)</f>
        <v>0</v>
      </c>
      <c r="K128" s="56">
        <f>IFERROR(__xludf.DUMMYFUNCTION("""COMPUTED_VALUE"""),0.0)</f>
        <v>0</v>
      </c>
      <c r="L128" s="57"/>
      <c r="M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8"/>
      <c r="J129" s="59">
        <f>IFERROR(__xludf.DUMMYFUNCTION("""COMPUTED_VALUE"""),0.0)</f>
        <v>0</v>
      </c>
      <c r="K129" s="56">
        <f>IFERROR(__xludf.DUMMYFUNCTION("""COMPUTED_VALUE"""),0.0)</f>
        <v>0</v>
      </c>
      <c r="L129" s="57"/>
      <c r="M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8"/>
      <c r="J130" s="59">
        <f>IFERROR(__xludf.DUMMYFUNCTION("""COMPUTED_VALUE"""),0.0)</f>
        <v>0</v>
      </c>
      <c r="K130" s="56">
        <f>IFERROR(__xludf.DUMMYFUNCTION("""COMPUTED_VALUE"""),0.0)</f>
        <v>0</v>
      </c>
      <c r="L130" s="57"/>
      <c r="M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8"/>
      <c r="J131" s="59">
        <f>IFERROR(__xludf.DUMMYFUNCTION("""COMPUTED_VALUE"""),0.0)</f>
        <v>0</v>
      </c>
      <c r="K131" s="56">
        <f>IFERROR(__xludf.DUMMYFUNCTION("""COMPUTED_VALUE"""),0.0)</f>
        <v>0</v>
      </c>
      <c r="L131" s="57"/>
      <c r="M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8"/>
      <c r="J132" s="59">
        <f>IFERROR(__xludf.DUMMYFUNCTION("""COMPUTED_VALUE"""),0.0)</f>
        <v>0</v>
      </c>
      <c r="K132" s="56">
        <f>IFERROR(__xludf.DUMMYFUNCTION("""COMPUTED_VALUE"""),0.0)</f>
        <v>0</v>
      </c>
      <c r="L132" s="57"/>
      <c r="M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8"/>
      <c r="J133" s="59">
        <f>IFERROR(__xludf.DUMMYFUNCTION("""COMPUTED_VALUE"""),0.0)</f>
        <v>0</v>
      </c>
      <c r="K133" s="56">
        <f>IFERROR(__xludf.DUMMYFUNCTION("""COMPUTED_VALUE"""),0.0)</f>
        <v>0</v>
      </c>
      <c r="L133" s="57"/>
      <c r="M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8"/>
      <c r="J134" s="59">
        <f>IFERROR(__xludf.DUMMYFUNCTION("""COMPUTED_VALUE"""),0.0)</f>
        <v>0</v>
      </c>
      <c r="K134" s="56">
        <f>IFERROR(__xludf.DUMMYFUNCTION("""COMPUTED_VALUE"""),0.0)</f>
        <v>0</v>
      </c>
      <c r="L134" s="57"/>
      <c r="M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8"/>
      <c r="J135" s="59">
        <f>IFERROR(__xludf.DUMMYFUNCTION("""COMPUTED_VALUE"""),0.0)</f>
        <v>0</v>
      </c>
      <c r="K135" s="56">
        <f>IFERROR(__xludf.DUMMYFUNCTION("""COMPUTED_VALUE"""),0.0)</f>
        <v>0</v>
      </c>
      <c r="L135" s="57"/>
      <c r="M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8"/>
      <c r="J136" s="59">
        <f>IFERROR(__xludf.DUMMYFUNCTION("""COMPUTED_VALUE"""),0.0)</f>
        <v>0</v>
      </c>
      <c r="K136" s="56">
        <f>IFERROR(__xludf.DUMMYFUNCTION("""COMPUTED_VALUE"""),0.0)</f>
        <v>0</v>
      </c>
      <c r="L136" s="57"/>
      <c r="M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8"/>
      <c r="J137" s="59">
        <f>IFERROR(__xludf.DUMMYFUNCTION("""COMPUTED_VALUE"""),0.0)</f>
        <v>0</v>
      </c>
      <c r="K137" s="56">
        <f>IFERROR(__xludf.DUMMYFUNCTION("""COMPUTED_VALUE"""),0.0)</f>
        <v>0</v>
      </c>
      <c r="L137" s="57"/>
      <c r="M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8"/>
      <c r="J138" s="59">
        <f>IFERROR(__xludf.DUMMYFUNCTION("""COMPUTED_VALUE"""),0.0)</f>
        <v>0</v>
      </c>
      <c r="K138" s="56">
        <f>IFERROR(__xludf.DUMMYFUNCTION("""COMPUTED_VALUE"""),0.0)</f>
        <v>0</v>
      </c>
      <c r="L138" s="57"/>
      <c r="M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8"/>
      <c r="J139" s="59">
        <f>IFERROR(__xludf.DUMMYFUNCTION("""COMPUTED_VALUE"""),0.0)</f>
        <v>0</v>
      </c>
      <c r="K139" s="56">
        <f>IFERROR(__xludf.DUMMYFUNCTION("""COMPUTED_VALUE"""),0.0)</f>
        <v>0</v>
      </c>
      <c r="L139" s="57"/>
      <c r="M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8"/>
      <c r="J140" s="59">
        <f>IFERROR(__xludf.DUMMYFUNCTION("""COMPUTED_VALUE"""),0.0)</f>
        <v>0</v>
      </c>
      <c r="K140" s="56">
        <f>IFERROR(__xludf.DUMMYFUNCTION("""COMPUTED_VALUE"""),0.0)</f>
        <v>0</v>
      </c>
      <c r="L140" s="57"/>
      <c r="M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8"/>
      <c r="J141" s="59">
        <f>IFERROR(__xludf.DUMMYFUNCTION("""COMPUTED_VALUE"""),0.0)</f>
        <v>0</v>
      </c>
      <c r="K141" s="56">
        <f>IFERROR(__xludf.DUMMYFUNCTION("""COMPUTED_VALUE"""),0.0)</f>
        <v>0</v>
      </c>
      <c r="L141" s="57"/>
      <c r="M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8"/>
      <c r="J142" s="59">
        <f>IFERROR(__xludf.DUMMYFUNCTION("""COMPUTED_VALUE"""),0.0)</f>
        <v>0</v>
      </c>
      <c r="K142" s="56">
        <f>IFERROR(__xludf.DUMMYFUNCTION("""COMPUTED_VALUE"""),0.0)</f>
        <v>0</v>
      </c>
      <c r="L142" s="57"/>
      <c r="M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8"/>
      <c r="J143" s="59">
        <f>IFERROR(__xludf.DUMMYFUNCTION("""COMPUTED_VALUE"""),0.0)</f>
        <v>0</v>
      </c>
      <c r="K143" s="56">
        <f>IFERROR(__xludf.DUMMYFUNCTION("""COMPUTED_VALUE"""),0.0)</f>
        <v>0</v>
      </c>
      <c r="L143" s="57"/>
      <c r="M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8"/>
      <c r="J144" s="59">
        <f>IFERROR(__xludf.DUMMYFUNCTION("""COMPUTED_VALUE"""),0.0)</f>
        <v>0</v>
      </c>
      <c r="K144" s="56">
        <f>IFERROR(__xludf.DUMMYFUNCTION("""COMPUTED_VALUE"""),0.0)</f>
        <v>0</v>
      </c>
      <c r="L144" s="57"/>
      <c r="M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8"/>
      <c r="J145" s="59">
        <f>IFERROR(__xludf.DUMMYFUNCTION("""COMPUTED_VALUE"""),0.0)</f>
        <v>0</v>
      </c>
      <c r="K145" s="56">
        <f>IFERROR(__xludf.DUMMYFUNCTION("""COMPUTED_VALUE"""),0.0)</f>
        <v>0</v>
      </c>
      <c r="L145" s="57"/>
      <c r="M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8"/>
      <c r="J146" s="59">
        <f>IFERROR(__xludf.DUMMYFUNCTION("""COMPUTED_VALUE"""),0.0)</f>
        <v>0</v>
      </c>
      <c r="K146" s="56">
        <f>IFERROR(__xludf.DUMMYFUNCTION("""COMPUTED_VALUE"""),0.0)</f>
        <v>0</v>
      </c>
      <c r="L146" s="57"/>
      <c r="M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8"/>
      <c r="J147" s="59">
        <f>IFERROR(__xludf.DUMMYFUNCTION("""COMPUTED_VALUE"""),0.0)</f>
        <v>0</v>
      </c>
      <c r="K147" s="56">
        <f>IFERROR(__xludf.DUMMYFUNCTION("""COMPUTED_VALUE"""),0.0)</f>
        <v>0</v>
      </c>
      <c r="L147" s="57"/>
      <c r="M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8"/>
      <c r="J148" s="59">
        <f>IFERROR(__xludf.DUMMYFUNCTION("""COMPUTED_VALUE"""),0.0)</f>
        <v>0</v>
      </c>
      <c r="K148" s="56">
        <f>IFERROR(__xludf.DUMMYFUNCTION("""COMPUTED_VALUE"""),0.0)</f>
        <v>0</v>
      </c>
      <c r="L148" s="57"/>
      <c r="M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8"/>
      <c r="J149" s="59">
        <f>IFERROR(__xludf.DUMMYFUNCTION("""COMPUTED_VALUE"""),0.0)</f>
        <v>0</v>
      </c>
      <c r="K149" s="56">
        <f>IFERROR(__xludf.DUMMYFUNCTION("""COMPUTED_VALUE"""),0.0)</f>
        <v>0</v>
      </c>
      <c r="L149" s="57"/>
      <c r="M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8"/>
      <c r="J150" s="59">
        <f>IFERROR(__xludf.DUMMYFUNCTION("""COMPUTED_VALUE"""),0.0)</f>
        <v>0</v>
      </c>
      <c r="K150" s="56">
        <f>IFERROR(__xludf.DUMMYFUNCTION("""COMPUTED_VALUE"""),0.0)</f>
        <v>0</v>
      </c>
      <c r="L150" s="57"/>
      <c r="M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8"/>
      <c r="J151" s="59">
        <f>IFERROR(__xludf.DUMMYFUNCTION("""COMPUTED_VALUE"""),0.0)</f>
        <v>0</v>
      </c>
      <c r="K151" s="56">
        <f>IFERROR(__xludf.DUMMYFUNCTION("""COMPUTED_VALUE"""),0.0)</f>
        <v>0</v>
      </c>
      <c r="L151" s="57"/>
      <c r="M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8"/>
      <c r="J152" s="59">
        <f>IFERROR(__xludf.DUMMYFUNCTION("""COMPUTED_VALUE"""),0.0)</f>
        <v>0</v>
      </c>
      <c r="K152" s="56">
        <f>IFERROR(__xludf.DUMMYFUNCTION("""COMPUTED_VALUE"""),0.0)</f>
        <v>0</v>
      </c>
      <c r="L152" s="57"/>
      <c r="M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8"/>
      <c r="J153" s="59">
        <f>IFERROR(__xludf.DUMMYFUNCTION("""COMPUTED_VALUE"""),0.0)</f>
        <v>0</v>
      </c>
      <c r="K153" s="56">
        <f>IFERROR(__xludf.DUMMYFUNCTION("""COMPUTED_VALUE"""),0.0)</f>
        <v>0</v>
      </c>
      <c r="L153" s="57"/>
      <c r="M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8"/>
      <c r="J154" s="59">
        <f>IFERROR(__xludf.DUMMYFUNCTION("""COMPUTED_VALUE"""),0.0)</f>
        <v>0</v>
      </c>
      <c r="K154" s="56">
        <f>IFERROR(__xludf.DUMMYFUNCTION("""COMPUTED_VALUE"""),0.0)</f>
        <v>0</v>
      </c>
      <c r="L154" s="57"/>
      <c r="M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8"/>
      <c r="J155" s="59">
        <f>IFERROR(__xludf.DUMMYFUNCTION("""COMPUTED_VALUE"""),0.0)</f>
        <v>0</v>
      </c>
      <c r="K155" s="56">
        <f>IFERROR(__xludf.DUMMYFUNCTION("""COMPUTED_VALUE"""),0.0)</f>
        <v>0</v>
      </c>
      <c r="L155" s="57"/>
      <c r="M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8"/>
      <c r="J156" s="59">
        <f>IFERROR(__xludf.DUMMYFUNCTION("""COMPUTED_VALUE"""),0.0)</f>
        <v>0</v>
      </c>
      <c r="K156" s="56">
        <f>IFERROR(__xludf.DUMMYFUNCTION("""COMPUTED_VALUE"""),0.0)</f>
        <v>0</v>
      </c>
      <c r="L156" s="57"/>
      <c r="M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8"/>
      <c r="J157" s="59">
        <f>IFERROR(__xludf.DUMMYFUNCTION("""COMPUTED_VALUE"""),0.0)</f>
        <v>0</v>
      </c>
      <c r="K157" s="56">
        <f>IFERROR(__xludf.DUMMYFUNCTION("""COMPUTED_VALUE"""),0.0)</f>
        <v>0</v>
      </c>
      <c r="L157" s="57"/>
      <c r="M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8"/>
      <c r="J158" s="59">
        <f>IFERROR(__xludf.DUMMYFUNCTION("""COMPUTED_VALUE"""),0.0)</f>
        <v>0</v>
      </c>
      <c r="K158" s="56">
        <f>IFERROR(__xludf.DUMMYFUNCTION("""COMPUTED_VALUE"""),0.0)</f>
        <v>0</v>
      </c>
      <c r="L158" s="57"/>
      <c r="M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8"/>
      <c r="J159" s="59">
        <f>IFERROR(__xludf.DUMMYFUNCTION("""COMPUTED_VALUE"""),0.0)</f>
        <v>0</v>
      </c>
      <c r="K159" s="56">
        <f>IFERROR(__xludf.DUMMYFUNCTION("""COMPUTED_VALUE"""),0.0)</f>
        <v>0</v>
      </c>
      <c r="L159" s="57"/>
      <c r="M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8"/>
      <c r="J160" s="59">
        <f>IFERROR(__xludf.DUMMYFUNCTION("""COMPUTED_VALUE"""),0.0)</f>
        <v>0</v>
      </c>
      <c r="K160" s="56">
        <f>IFERROR(__xludf.DUMMYFUNCTION("""COMPUTED_VALUE"""),0.0)</f>
        <v>0</v>
      </c>
      <c r="L160" s="57"/>
      <c r="M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8"/>
      <c r="J161" s="59">
        <f>IFERROR(__xludf.DUMMYFUNCTION("""COMPUTED_VALUE"""),0.0)</f>
        <v>0</v>
      </c>
      <c r="K161" s="56">
        <f>IFERROR(__xludf.DUMMYFUNCTION("""COMPUTED_VALUE"""),0.0)</f>
        <v>0</v>
      </c>
      <c r="L161" s="57"/>
      <c r="M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8"/>
      <c r="J162" s="59">
        <f>IFERROR(__xludf.DUMMYFUNCTION("""COMPUTED_VALUE"""),0.0)</f>
        <v>0</v>
      </c>
      <c r="K162" s="56">
        <f>IFERROR(__xludf.DUMMYFUNCTION("""COMPUTED_VALUE"""),0.0)</f>
        <v>0</v>
      </c>
      <c r="L162" s="57"/>
      <c r="M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8"/>
      <c r="J163" s="59">
        <f>IFERROR(__xludf.DUMMYFUNCTION("""COMPUTED_VALUE"""),0.0)</f>
        <v>0</v>
      </c>
      <c r="K163" s="56">
        <f>IFERROR(__xludf.DUMMYFUNCTION("""COMPUTED_VALUE"""),0.0)</f>
        <v>0</v>
      </c>
      <c r="L163" s="57"/>
      <c r="M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8"/>
      <c r="J164" s="59">
        <f>IFERROR(__xludf.DUMMYFUNCTION("""COMPUTED_VALUE"""),0.0)</f>
        <v>0</v>
      </c>
      <c r="K164" s="56">
        <f>IFERROR(__xludf.DUMMYFUNCTION("""COMPUTED_VALUE"""),0.0)</f>
        <v>0</v>
      </c>
      <c r="L164" s="57"/>
      <c r="M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8"/>
      <c r="J165" s="59">
        <f>IFERROR(__xludf.DUMMYFUNCTION("""COMPUTED_VALUE"""),0.0)</f>
        <v>0</v>
      </c>
      <c r="K165" s="56">
        <f>IFERROR(__xludf.DUMMYFUNCTION("""COMPUTED_VALUE"""),0.0)</f>
        <v>0</v>
      </c>
      <c r="L165" s="57"/>
      <c r="M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8"/>
      <c r="J166" s="59">
        <f>IFERROR(__xludf.DUMMYFUNCTION("""COMPUTED_VALUE"""),0.0)</f>
        <v>0</v>
      </c>
      <c r="K166" s="56">
        <f>IFERROR(__xludf.DUMMYFUNCTION("""COMPUTED_VALUE"""),0.0)</f>
        <v>0</v>
      </c>
      <c r="L166" s="57"/>
      <c r="M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8"/>
      <c r="J167" s="59">
        <f>IFERROR(__xludf.DUMMYFUNCTION("""COMPUTED_VALUE"""),0.0)</f>
        <v>0</v>
      </c>
      <c r="K167" s="56">
        <f>IFERROR(__xludf.DUMMYFUNCTION("""COMPUTED_VALUE"""),0.0)</f>
        <v>0</v>
      </c>
      <c r="L167" s="57"/>
      <c r="M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8"/>
      <c r="J168" s="59">
        <f>IFERROR(__xludf.DUMMYFUNCTION("""COMPUTED_VALUE"""),0.0)</f>
        <v>0</v>
      </c>
      <c r="K168" s="56">
        <f>IFERROR(__xludf.DUMMYFUNCTION("""COMPUTED_VALUE"""),0.0)</f>
        <v>0</v>
      </c>
      <c r="L168" s="57"/>
      <c r="M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8"/>
      <c r="J169" s="59">
        <f>IFERROR(__xludf.DUMMYFUNCTION("""COMPUTED_VALUE"""),0.0)</f>
        <v>0</v>
      </c>
      <c r="K169" s="56">
        <f>IFERROR(__xludf.DUMMYFUNCTION("""COMPUTED_VALUE"""),0.0)</f>
        <v>0</v>
      </c>
      <c r="L169" s="57"/>
      <c r="M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8"/>
      <c r="J170" s="59">
        <f>IFERROR(__xludf.DUMMYFUNCTION("""COMPUTED_VALUE"""),0.0)</f>
        <v>0</v>
      </c>
      <c r="K170" s="56">
        <f>IFERROR(__xludf.DUMMYFUNCTION("""COMPUTED_VALUE"""),0.0)</f>
        <v>0</v>
      </c>
      <c r="L170" s="57"/>
      <c r="M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8"/>
      <c r="J171" s="59">
        <f>IFERROR(__xludf.DUMMYFUNCTION("""COMPUTED_VALUE"""),0.0)</f>
        <v>0</v>
      </c>
      <c r="K171" s="56">
        <f>IFERROR(__xludf.DUMMYFUNCTION("""COMPUTED_VALUE"""),0.0)</f>
        <v>0</v>
      </c>
      <c r="L171" s="57"/>
      <c r="M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8"/>
      <c r="J172" s="59">
        <f>IFERROR(__xludf.DUMMYFUNCTION("""COMPUTED_VALUE"""),0.0)</f>
        <v>0</v>
      </c>
      <c r="K172" s="56">
        <f>IFERROR(__xludf.DUMMYFUNCTION("""COMPUTED_VALUE"""),0.0)</f>
        <v>0</v>
      </c>
      <c r="L172" s="57"/>
      <c r="M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8"/>
      <c r="J173" s="59">
        <f>IFERROR(__xludf.DUMMYFUNCTION("""COMPUTED_VALUE"""),0.0)</f>
        <v>0</v>
      </c>
      <c r="K173" s="56">
        <f>IFERROR(__xludf.DUMMYFUNCTION("""COMPUTED_VALUE"""),0.0)</f>
        <v>0</v>
      </c>
      <c r="L173" s="57"/>
      <c r="M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8"/>
      <c r="J174" s="59">
        <f>IFERROR(__xludf.DUMMYFUNCTION("""COMPUTED_VALUE"""),0.0)</f>
        <v>0</v>
      </c>
      <c r="K174" s="56">
        <f>IFERROR(__xludf.DUMMYFUNCTION("""COMPUTED_VALUE"""),0.0)</f>
        <v>0</v>
      </c>
      <c r="L174" s="57"/>
      <c r="M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8"/>
      <c r="J175" s="59">
        <f>IFERROR(__xludf.DUMMYFUNCTION("""COMPUTED_VALUE"""),0.0)</f>
        <v>0</v>
      </c>
      <c r="K175" s="56">
        <f>IFERROR(__xludf.DUMMYFUNCTION("""COMPUTED_VALUE"""),0.0)</f>
        <v>0</v>
      </c>
      <c r="L175" s="57"/>
      <c r="M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8"/>
      <c r="J176" s="59">
        <f>IFERROR(__xludf.DUMMYFUNCTION("""COMPUTED_VALUE"""),0.0)</f>
        <v>0</v>
      </c>
      <c r="K176" s="56">
        <f>IFERROR(__xludf.DUMMYFUNCTION("""COMPUTED_VALUE"""),0.0)</f>
        <v>0</v>
      </c>
      <c r="L176" s="57"/>
      <c r="M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8"/>
      <c r="J177" s="59">
        <f>IFERROR(__xludf.DUMMYFUNCTION("""COMPUTED_VALUE"""),0.0)</f>
        <v>0</v>
      </c>
      <c r="K177" s="56">
        <f>IFERROR(__xludf.DUMMYFUNCTION("""COMPUTED_VALUE"""),0.0)</f>
        <v>0</v>
      </c>
      <c r="L177" s="57"/>
      <c r="M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8"/>
      <c r="J178" s="59">
        <f>IFERROR(__xludf.DUMMYFUNCTION("""COMPUTED_VALUE"""),0.0)</f>
        <v>0</v>
      </c>
      <c r="K178" s="56">
        <f>IFERROR(__xludf.DUMMYFUNCTION("""COMPUTED_VALUE"""),0.0)</f>
        <v>0</v>
      </c>
      <c r="L178" s="57"/>
      <c r="M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8"/>
      <c r="J179" s="59">
        <f>IFERROR(__xludf.DUMMYFUNCTION("""COMPUTED_VALUE"""),0.0)</f>
        <v>0</v>
      </c>
      <c r="K179" s="56">
        <f>IFERROR(__xludf.DUMMYFUNCTION("""COMPUTED_VALUE"""),0.0)</f>
        <v>0</v>
      </c>
      <c r="L179" s="57"/>
      <c r="M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8"/>
      <c r="J180" s="59">
        <f>IFERROR(__xludf.DUMMYFUNCTION("""COMPUTED_VALUE"""),0.0)</f>
        <v>0</v>
      </c>
      <c r="K180" s="56">
        <f>IFERROR(__xludf.DUMMYFUNCTION("""COMPUTED_VALUE"""),0.0)</f>
        <v>0</v>
      </c>
      <c r="L180" s="57"/>
      <c r="M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8"/>
      <c r="J181" s="59">
        <f>IFERROR(__xludf.DUMMYFUNCTION("""COMPUTED_VALUE"""),0.0)</f>
        <v>0</v>
      </c>
      <c r="K181" s="56">
        <f>IFERROR(__xludf.DUMMYFUNCTION("""COMPUTED_VALUE"""),0.0)</f>
        <v>0</v>
      </c>
      <c r="L181" s="57"/>
      <c r="M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8"/>
      <c r="J182" s="59">
        <f>IFERROR(__xludf.DUMMYFUNCTION("""COMPUTED_VALUE"""),0.0)</f>
        <v>0</v>
      </c>
      <c r="K182" s="56">
        <f>IFERROR(__xludf.DUMMYFUNCTION("""COMPUTED_VALUE"""),0.0)</f>
        <v>0</v>
      </c>
      <c r="L182" s="57"/>
      <c r="M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8"/>
      <c r="J183" s="59">
        <f>IFERROR(__xludf.DUMMYFUNCTION("""COMPUTED_VALUE"""),0.0)</f>
        <v>0</v>
      </c>
      <c r="K183" s="56">
        <f>IFERROR(__xludf.DUMMYFUNCTION("""COMPUTED_VALUE"""),0.0)</f>
        <v>0</v>
      </c>
      <c r="L183" s="57"/>
      <c r="M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8"/>
      <c r="J184" s="59">
        <f>IFERROR(__xludf.DUMMYFUNCTION("""COMPUTED_VALUE"""),0.0)</f>
        <v>0</v>
      </c>
      <c r="K184" s="56">
        <f>IFERROR(__xludf.DUMMYFUNCTION("""COMPUTED_VALUE"""),0.0)</f>
        <v>0</v>
      </c>
      <c r="L184" s="57"/>
      <c r="M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8"/>
      <c r="J185" s="59">
        <f>IFERROR(__xludf.DUMMYFUNCTION("""COMPUTED_VALUE"""),0.0)</f>
        <v>0</v>
      </c>
      <c r="K185" s="56">
        <f>IFERROR(__xludf.DUMMYFUNCTION("""COMPUTED_VALUE"""),0.0)</f>
        <v>0</v>
      </c>
      <c r="L185" s="57"/>
      <c r="M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8"/>
      <c r="J186" s="59">
        <f>IFERROR(__xludf.DUMMYFUNCTION("""COMPUTED_VALUE"""),0.0)</f>
        <v>0</v>
      </c>
      <c r="K186" s="56">
        <f>IFERROR(__xludf.DUMMYFUNCTION("""COMPUTED_VALUE"""),0.0)</f>
        <v>0</v>
      </c>
      <c r="L186" s="57"/>
      <c r="M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8"/>
      <c r="J187" s="59">
        <f>IFERROR(__xludf.DUMMYFUNCTION("""COMPUTED_VALUE"""),0.0)</f>
        <v>0</v>
      </c>
      <c r="K187" s="56">
        <f>IFERROR(__xludf.DUMMYFUNCTION("""COMPUTED_VALUE"""),0.0)</f>
        <v>0</v>
      </c>
      <c r="L187" s="57"/>
      <c r="M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8"/>
      <c r="J188" s="59">
        <f>IFERROR(__xludf.DUMMYFUNCTION("""COMPUTED_VALUE"""),0.0)</f>
        <v>0</v>
      </c>
      <c r="K188" s="56">
        <f>IFERROR(__xludf.DUMMYFUNCTION("""COMPUTED_VALUE"""),0.0)</f>
        <v>0</v>
      </c>
      <c r="L188" s="57"/>
      <c r="M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8"/>
      <c r="J189" s="59">
        <f>IFERROR(__xludf.DUMMYFUNCTION("""COMPUTED_VALUE"""),0.0)</f>
        <v>0</v>
      </c>
      <c r="K189" s="56">
        <f>IFERROR(__xludf.DUMMYFUNCTION("""COMPUTED_VALUE"""),0.0)</f>
        <v>0</v>
      </c>
      <c r="L189" s="57"/>
      <c r="M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8"/>
      <c r="J190" s="59">
        <f>IFERROR(__xludf.DUMMYFUNCTION("""COMPUTED_VALUE"""),0.0)</f>
        <v>0</v>
      </c>
      <c r="K190" s="56">
        <f>IFERROR(__xludf.DUMMYFUNCTION("""COMPUTED_VALUE"""),0.0)</f>
        <v>0</v>
      </c>
      <c r="L190" s="57"/>
      <c r="M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8"/>
      <c r="J191" s="59">
        <f>IFERROR(__xludf.DUMMYFUNCTION("""COMPUTED_VALUE"""),0.0)</f>
        <v>0</v>
      </c>
      <c r="K191" s="56">
        <f>IFERROR(__xludf.DUMMYFUNCTION("""COMPUTED_VALUE"""),0.0)</f>
        <v>0</v>
      </c>
      <c r="L191" s="57"/>
      <c r="M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8"/>
      <c r="J192" s="59">
        <f>IFERROR(__xludf.DUMMYFUNCTION("""COMPUTED_VALUE"""),0.0)</f>
        <v>0</v>
      </c>
      <c r="K192" s="56">
        <f>IFERROR(__xludf.DUMMYFUNCTION("""COMPUTED_VALUE"""),0.0)</f>
        <v>0</v>
      </c>
      <c r="L192" s="57"/>
      <c r="M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8"/>
      <c r="J193" s="59">
        <f>IFERROR(__xludf.DUMMYFUNCTION("""COMPUTED_VALUE"""),0.0)</f>
        <v>0</v>
      </c>
      <c r="K193" s="56">
        <f>IFERROR(__xludf.DUMMYFUNCTION("""COMPUTED_VALUE"""),0.0)</f>
        <v>0</v>
      </c>
      <c r="L193" s="57"/>
      <c r="M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8"/>
      <c r="J194" s="59">
        <f>IFERROR(__xludf.DUMMYFUNCTION("""COMPUTED_VALUE"""),0.0)</f>
        <v>0</v>
      </c>
      <c r="K194" s="56">
        <f>IFERROR(__xludf.DUMMYFUNCTION("""COMPUTED_VALUE"""),0.0)</f>
        <v>0</v>
      </c>
      <c r="L194" s="57"/>
      <c r="M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8"/>
      <c r="J195" s="59">
        <f>IFERROR(__xludf.DUMMYFUNCTION("""COMPUTED_VALUE"""),0.0)</f>
        <v>0</v>
      </c>
      <c r="K195" s="56">
        <f>IFERROR(__xludf.DUMMYFUNCTION("""COMPUTED_VALUE"""),0.0)</f>
        <v>0</v>
      </c>
      <c r="L195" s="57"/>
      <c r="M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8"/>
      <c r="J196" s="59">
        <f>IFERROR(__xludf.DUMMYFUNCTION("""COMPUTED_VALUE"""),0.0)</f>
        <v>0</v>
      </c>
      <c r="K196" s="56">
        <f>IFERROR(__xludf.DUMMYFUNCTION("""COMPUTED_VALUE"""),0.0)</f>
        <v>0</v>
      </c>
      <c r="L196" s="57"/>
      <c r="M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8"/>
      <c r="J197" s="59">
        <f>IFERROR(__xludf.DUMMYFUNCTION("""COMPUTED_VALUE"""),0.0)</f>
        <v>0</v>
      </c>
      <c r="K197" s="56">
        <f>IFERROR(__xludf.DUMMYFUNCTION("""COMPUTED_VALUE"""),0.0)</f>
        <v>0</v>
      </c>
      <c r="L197" s="57"/>
      <c r="M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8"/>
      <c r="J198" s="59">
        <f>IFERROR(__xludf.DUMMYFUNCTION("""COMPUTED_VALUE"""),0.0)</f>
        <v>0</v>
      </c>
      <c r="K198" s="56">
        <f>IFERROR(__xludf.DUMMYFUNCTION("""COMPUTED_VALUE"""),0.0)</f>
        <v>0</v>
      </c>
      <c r="L198" s="57"/>
      <c r="M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8"/>
      <c r="J199" s="59">
        <f>IFERROR(__xludf.DUMMYFUNCTION("""COMPUTED_VALUE"""),0.0)</f>
        <v>0</v>
      </c>
      <c r="K199" s="56">
        <f>IFERROR(__xludf.DUMMYFUNCTION("""COMPUTED_VALUE"""),0.0)</f>
        <v>0</v>
      </c>
      <c r="L199" s="57"/>
      <c r="M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8"/>
      <c r="J200" s="59">
        <f>IFERROR(__xludf.DUMMYFUNCTION("""COMPUTED_VALUE"""),0.0)</f>
        <v>0</v>
      </c>
      <c r="K200" s="56">
        <f>IFERROR(__xludf.DUMMYFUNCTION("""COMPUTED_VALUE"""),0.0)</f>
        <v>0</v>
      </c>
      <c r="L200" s="57"/>
      <c r="M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8"/>
      <c r="J201" s="59">
        <f>IFERROR(__xludf.DUMMYFUNCTION("""COMPUTED_VALUE"""),0.0)</f>
        <v>0</v>
      </c>
      <c r="K201" s="56">
        <f>IFERROR(__xludf.DUMMYFUNCTION("""COMPUTED_VALUE"""),0.0)</f>
        <v>0</v>
      </c>
      <c r="L201" s="57"/>
      <c r="M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8"/>
      <c r="J202" s="59">
        <f>IFERROR(__xludf.DUMMYFUNCTION("""COMPUTED_VALUE"""),0.0)</f>
        <v>0</v>
      </c>
      <c r="K202" s="56">
        <f>IFERROR(__xludf.DUMMYFUNCTION("""COMPUTED_VALUE"""),0.0)</f>
        <v>0</v>
      </c>
      <c r="L202" s="57"/>
      <c r="M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8"/>
      <c r="J203" s="59">
        <f>IFERROR(__xludf.DUMMYFUNCTION("""COMPUTED_VALUE"""),0.0)</f>
        <v>0</v>
      </c>
      <c r="K203" s="56">
        <f>IFERROR(__xludf.DUMMYFUNCTION("""COMPUTED_VALUE"""),0.0)</f>
        <v>0</v>
      </c>
      <c r="L203" s="57"/>
      <c r="M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8"/>
      <c r="J204" s="59">
        <f>IFERROR(__xludf.DUMMYFUNCTION("""COMPUTED_VALUE"""),0.0)</f>
        <v>0</v>
      </c>
      <c r="K204" s="56">
        <f>IFERROR(__xludf.DUMMYFUNCTION("""COMPUTED_VALUE"""),0.0)</f>
        <v>0</v>
      </c>
      <c r="L204" s="57"/>
      <c r="M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8"/>
      <c r="J205" s="59">
        <f>IFERROR(__xludf.DUMMYFUNCTION("""COMPUTED_VALUE"""),0.0)</f>
        <v>0</v>
      </c>
      <c r="K205" s="56">
        <f>IFERROR(__xludf.DUMMYFUNCTION("""COMPUTED_VALUE"""),0.0)</f>
        <v>0</v>
      </c>
      <c r="L205" s="57"/>
      <c r="M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8"/>
      <c r="J206" s="59">
        <f>IFERROR(__xludf.DUMMYFUNCTION("""COMPUTED_VALUE"""),0.0)</f>
        <v>0</v>
      </c>
      <c r="K206" s="56">
        <f>IFERROR(__xludf.DUMMYFUNCTION("""COMPUTED_VALUE"""),0.0)</f>
        <v>0</v>
      </c>
      <c r="L206" s="57"/>
      <c r="M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8"/>
      <c r="J207" s="59">
        <f>IFERROR(__xludf.DUMMYFUNCTION("""COMPUTED_VALUE"""),0.0)</f>
        <v>0</v>
      </c>
      <c r="K207" s="56">
        <f>IFERROR(__xludf.DUMMYFUNCTION("""COMPUTED_VALUE"""),0.0)</f>
        <v>0</v>
      </c>
      <c r="L207" s="57"/>
      <c r="M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8"/>
      <c r="J208" s="59">
        <f>IFERROR(__xludf.DUMMYFUNCTION("""COMPUTED_VALUE"""),0.0)</f>
        <v>0</v>
      </c>
      <c r="K208" s="56">
        <f>IFERROR(__xludf.DUMMYFUNCTION("""COMPUTED_VALUE"""),0.0)</f>
        <v>0</v>
      </c>
      <c r="L208" s="57"/>
      <c r="M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8"/>
      <c r="J209" s="59">
        <f>IFERROR(__xludf.DUMMYFUNCTION("""COMPUTED_VALUE"""),0.0)</f>
        <v>0</v>
      </c>
      <c r="K209" s="56">
        <f>IFERROR(__xludf.DUMMYFUNCTION("""COMPUTED_VALUE"""),0.0)</f>
        <v>0</v>
      </c>
      <c r="L209" s="57"/>
      <c r="M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8"/>
      <c r="J210" s="59">
        <f>IFERROR(__xludf.DUMMYFUNCTION("""COMPUTED_VALUE"""),0.0)</f>
        <v>0</v>
      </c>
      <c r="K210" s="56">
        <f>IFERROR(__xludf.DUMMYFUNCTION("""COMPUTED_VALUE"""),0.0)</f>
        <v>0</v>
      </c>
      <c r="L210" s="57"/>
      <c r="M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8"/>
      <c r="J211" s="59">
        <f>IFERROR(__xludf.DUMMYFUNCTION("""COMPUTED_VALUE"""),0.0)</f>
        <v>0</v>
      </c>
      <c r="K211" s="56">
        <f>IFERROR(__xludf.DUMMYFUNCTION("""COMPUTED_VALUE"""),0.0)</f>
        <v>0</v>
      </c>
      <c r="L211" s="57"/>
      <c r="M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8"/>
      <c r="J212" s="59">
        <f>IFERROR(__xludf.DUMMYFUNCTION("""COMPUTED_VALUE"""),0.0)</f>
        <v>0</v>
      </c>
      <c r="K212" s="56">
        <f>IFERROR(__xludf.DUMMYFUNCTION("""COMPUTED_VALUE"""),0.0)</f>
        <v>0</v>
      </c>
      <c r="L212" s="57"/>
      <c r="M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8"/>
      <c r="J213" s="59">
        <f>IFERROR(__xludf.DUMMYFUNCTION("""COMPUTED_VALUE"""),0.0)</f>
        <v>0</v>
      </c>
      <c r="K213" s="56">
        <f>IFERROR(__xludf.DUMMYFUNCTION("""COMPUTED_VALUE"""),0.0)</f>
        <v>0</v>
      </c>
      <c r="L213" s="57"/>
      <c r="M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8"/>
      <c r="J214" s="59">
        <f>IFERROR(__xludf.DUMMYFUNCTION("""COMPUTED_VALUE"""),0.0)</f>
        <v>0</v>
      </c>
      <c r="K214" s="56">
        <f>IFERROR(__xludf.DUMMYFUNCTION("""COMPUTED_VALUE"""),0.0)</f>
        <v>0</v>
      </c>
      <c r="L214" s="57"/>
      <c r="M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8"/>
      <c r="J215" s="59">
        <f>IFERROR(__xludf.DUMMYFUNCTION("""COMPUTED_VALUE"""),0.0)</f>
        <v>0</v>
      </c>
      <c r="K215" s="56">
        <f>IFERROR(__xludf.DUMMYFUNCTION("""COMPUTED_VALUE"""),0.0)</f>
        <v>0</v>
      </c>
      <c r="L215" s="57"/>
      <c r="M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8"/>
      <c r="J216" s="59">
        <f>IFERROR(__xludf.DUMMYFUNCTION("""COMPUTED_VALUE"""),0.0)</f>
        <v>0</v>
      </c>
      <c r="K216" s="56">
        <f>IFERROR(__xludf.DUMMYFUNCTION("""COMPUTED_VALUE"""),0.0)</f>
        <v>0</v>
      </c>
      <c r="L216" s="57"/>
      <c r="M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8"/>
      <c r="J217" s="59">
        <f>IFERROR(__xludf.DUMMYFUNCTION("""COMPUTED_VALUE"""),0.0)</f>
        <v>0</v>
      </c>
      <c r="K217" s="56">
        <f>IFERROR(__xludf.DUMMYFUNCTION("""COMPUTED_VALUE"""),0.0)</f>
        <v>0</v>
      </c>
      <c r="L217" s="57"/>
      <c r="M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8"/>
      <c r="J218" s="59">
        <f>IFERROR(__xludf.DUMMYFUNCTION("""COMPUTED_VALUE"""),0.0)</f>
        <v>0</v>
      </c>
      <c r="K218" s="56">
        <f>IFERROR(__xludf.DUMMYFUNCTION("""COMPUTED_VALUE"""),0.0)</f>
        <v>0</v>
      </c>
      <c r="L218" s="57"/>
      <c r="M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8"/>
      <c r="J219" s="59">
        <f>IFERROR(__xludf.DUMMYFUNCTION("""COMPUTED_VALUE"""),0.0)</f>
        <v>0</v>
      </c>
      <c r="K219" s="56">
        <f>IFERROR(__xludf.DUMMYFUNCTION("""COMPUTED_VALUE"""),0.0)</f>
        <v>0</v>
      </c>
      <c r="L219" s="57"/>
      <c r="M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8"/>
      <c r="J220" s="59">
        <f>IFERROR(__xludf.DUMMYFUNCTION("""COMPUTED_VALUE"""),0.0)</f>
        <v>0</v>
      </c>
      <c r="K220" s="56">
        <f>IFERROR(__xludf.DUMMYFUNCTION("""COMPUTED_VALUE"""),0.0)</f>
        <v>0</v>
      </c>
      <c r="L220" s="57"/>
      <c r="M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8"/>
      <c r="J221" s="59">
        <f>IFERROR(__xludf.DUMMYFUNCTION("""COMPUTED_VALUE"""),0.0)</f>
        <v>0</v>
      </c>
      <c r="K221" s="56">
        <f>IFERROR(__xludf.DUMMYFUNCTION("""COMPUTED_VALUE"""),0.0)</f>
        <v>0</v>
      </c>
      <c r="L221" s="57"/>
      <c r="M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8"/>
      <c r="J222" s="59">
        <f>IFERROR(__xludf.DUMMYFUNCTION("""COMPUTED_VALUE"""),0.0)</f>
        <v>0</v>
      </c>
      <c r="K222" s="56">
        <f>IFERROR(__xludf.DUMMYFUNCTION("""COMPUTED_VALUE"""),0.0)</f>
        <v>0</v>
      </c>
      <c r="L222" s="57"/>
      <c r="M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8"/>
      <c r="J223" s="59">
        <f>IFERROR(__xludf.DUMMYFUNCTION("""COMPUTED_VALUE"""),0.0)</f>
        <v>0</v>
      </c>
      <c r="K223" s="56">
        <f>IFERROR(__xludf.DUMMYFUNCTION("""COMPUTED_VALUE"""),0.0)</f>
        <v>0</v>
      </c>
      <c r="L223" s="57"/>
      <c r="M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8"/>
      <c r="J224" s="59">
        <f>IFERROR(__xludf.DUMMYFUNCTION("""COMPUTED_VALUE"""),0.0)</f>
        <v>0</v>
      </c>
      <c r="K224" s="56">
        <f>IFERROR(__xludf.DUMMYFUNCTION("""COMPUTED_VALUE"""),0.0)</f>
        <v>0</v>
      </c>
      <c r="L224" s="57"/>
      <c r="M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8"/>
      <c r="J225" s="59">
        <f>IFERROR(__xludf.DUMMYFUNCTION("""COMPUTED_VALUE"""),0.0)</f>
        <v>0</v>
      </c>
      <c r="K225" s="56">
        <f>IFERROR(__xludf.DUMMYFUNCTION("""COMPUTED_VALUE"""),0.0)</f>
        <v>0</v>
      </c>
      <c r="L225" s="57"/>
      <c r="M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8"/>
      <c r="J226" s="59">
        <f>IFERROR(__xludf.DUMMYFUNCTION("""COMPUTED_VALUE"""),0.0)</f>
        <v>0</v>
      </c>
      <c r="K226" s="56">
        <f>IFERROR(__xludf.DUMMYFUNCTION("""COMPUTED_VALUE"""),0.0)</f>
        <v>0</v>
      </c>
      <c r="L226" s="57"/>
      <c r="M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8"/>
      <c r="J227" s="59">
        <f>IFERROR(__xludf.DUMMYFUNCTION("""COMPUTED_VALUE"""),0.0)</f>
        <v>0</v>
      </c>
      <c r="K227" s="56">
        <f>IFERROR(__xludf.DUMMYFUNCTION("""COMPUTED_VALUE"""),0.0)</f>
        <v>0</v>
      </c>
      <c r="L227" s="57"/>
      <c r="M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8"/>
      <c r="J228" s="59">
        <f>IFERROR(__xludf.DUMMYFUNCTION("""COMPUTED_VALUE"""),0.0)</f>
        <v>0</v>
      </c>
      <c r="K228" s="56">
        <f>IFERROR(__xludf.DUMMYFUNCTION("""COMPUTED_VALUE"""),0.0)</f>
        <v>0</v>
      </c>
      <c r="L228" s="57"/>
      <c r="M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8"/>
      <c r="J229" s="59">
        <f>IFERROR(__xludf.DUMMYFUNCTION("""COMPUTED_VALUE"""),0.0)</f>
        <v>0</v>
      </c>
      <c r="K229" s="56">
        <f>IFERROR(__xludf.DUMMYFUNCTION("""COMPUTED_VALUE"""),0.0)</f>
        <v>0</v>
      </c>
      <c r="L229" s="57"/>
      <c r="M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8"/>
      <c r="J230" s="59">
        <f>IFERROR(__xludf.DUMMYFUNCTION("""COMPUTED_VALUE"""),0.0)</f>
        <v>0</v>
      </c>
      <c r="K230" s="56">
        <f>IFERROR(__xludf.DUMMYFUNCTION("""COMPUTED_VALUE"""),0.0)</f>
        <v>0</v>
      </c>
      <c r="L230" s="57"/>
      <c r="M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8"/>
      <c r="J231" s="59">
        <f>IFERROR(__xludf.DUMMYFUNCTION("""COMPUTED_VALUE"""),0.0)</f>
        <v>0</v>
      </c>
      <c r="K231" s="56">
        <f>IFERROR(__xludf.DUMMYFUNCTION("""COMPUTED_VALUE"""),0.0)</f>
        <v>0</v>
      </c>
      <c r="L231" s="57"/>
      <c r="M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8"/>
      <c r="J232" s="59">
        <f>IFERROR(__xludf.DUMMYFUNCTION("""COMPUTED_VALUE"""),0.0)</f>
        <v>0</v>
      </c>
      <c r="K232" s="56">
        <f>IFERROR(__xludf.DUMMYFUNCTION("""COMPUTED_VALUE"""),0.0)</f>
        <v>0</v>
      </c>
      <c r="L232" s="57"/>
      <c r="M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8"/>
      <c r="J233" s="59">
        <f>IFERROR(__xludf.DUMMYFUNCTION("""COMPUTED_VALUE"""),0.0)</f>
        <v>0</v>
      </c>
      <c r="K233" s="56">
        <f>IFERROR(__xludf.DUMMYFUNCTION("""COMPUTED_VALUE"""),0.0)</f>
        <v>0</v>
      </c>
      <c r="L233" s="57"/>
      <c r="M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8"/>
      <c r="J234" s="59">
        <f>IFERROR(__xludf.DUMMYFUNCTION("""COMPUTED_VALUE"""),0.0)</f>
        <v>0</v>
      </c>
      <c r="K234" s="56">
        <f>IFERROR(__xludf.DUMMYFUNCTION("""COMPUTED_VALUE"""),0.0)</f>
        <v>0</v>
      </c>
      <c r="L234" s="57"/>
      <c r="M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8"/>
      <c r="J235" s="59">
        <f>IFERROR(__xludf.DUMMYFUNCTION("""COMPUTED_VALUE"""),0.0)</f>
        <v>0</v>
      </c>
      <c r="K235" s="56">
        <f>IFERROR(__xludf.DUMMYFUNCTION("""COMPUTED_VALUE"""),0.0)</f>
        <v>0</v>
      </c>
      <c r="L235" s="57"/>
      <c r="M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8"/>
      <c r="J236" s="59">
        <f>IFERROR(__xludf.DUMMYFUNCTION("""COMPUTED_VALUE"""),0.0)</f>
        <v>0</v>
      </c>
      <c r="K236" s="56">
        <f>IFERROR(__xludf.DUMMYFUNCTION("""COMPUTED_VALUE"""),0.0)</f>
        <v>0</v>
      </c>
      <c r="L236" s="57"/>
      <c r="M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8"/>
      <c r="J237" s="59">
        <f>IFERROR(__xludf.DUMMYFUNCTION("""COMPUTED_VALUE"""),0.0)</f>
        <v>0</v>
      </c>
      <c r="K237" s="56">
        <f>IFERROR(__xludf.DUMMYFUNCTION("""COMPUTED_VALUE"""),0.0)</f>
        <v>0</v>
      </c>
      <c r="L237" s="57"/>
      <c r="M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8"/>
      <c r="J238" s="59">
        <f>IFERROR(__xludf.DUMMYFUNCTION("""COMPUTED_VALUE"""),0.0)</f>
        <v>0</v>
      </c>
      <c r="K238" s="56">
        <f>IFERROR(__xludf.DUMMYFUNCTION("""COMPUTED_VALUE"""),0.0)</f>
        <v>0</v>
      </c>
      <c r="L238" s="57"/>
      <c r="M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8"/>
      <c r="J239" s="59">
        <f>IFERROR(__xludf.DUMMYFUNCTION("""COMPUTED_VALUE"""),0.0)</f>
        <v>0</v>
      </c>
      <c r="K239" s="56">
        <f>IFERROR(__xludf.DUMMYFUNCTION("""COMPUTED_VALUE"""),0.0)</f>
        <v>0</v>
      </c>
      <c r="L239" s="57"/>
      <c r="M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8"/>
      <c r="J240" s="59">
        <f>IFERROR(__xludf.DUMMYFUNCTION("""COMPUTED_VALUE"""),0.0)</f>
        <v>0</v>
      </c>
      <c r="K240" s="56">
        <f>IFERROR(__xludf.DUMMYFUNCTION("""COMPUTED_VALUE"""),0.0)</f>
        <v>0</v>
      </c>
      <c r="L240" s="57"/>
      <c r="M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8"/>
      <c r="J241" s="59">
        <f>IFERROR(__xludf.DUMMYFUNCTION("""COMPUTED_VALUE"""),0.0)</f>
        <v>0</v>
      </c>
      <c r="K241" s="56">
        <f>IFERROR(__xludf.DUMMYFUNCTION("""COMPUTED_VALUE"""),0.0)</f>
        <v>0</v>
      </c>
      <c r="L241" s="57"/>
      <c r="M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8"/>
      <c r="J242" s="59">
        <f>IFERROR(__xludf.DUMMYFUNCTION("""COMPUTED_VALUE"""),0.0)</f>
        <v>0</v>
      </c>
      <c r="K242" s="56">
        <f>IFERROR(__xludf.DUMMYFUNCTION("""COMPUTED_VALUE"""),0.0)</f>
        <v>0</v>
      </c>
      <c r="L242" s="57"/>
      <c r="M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8"/>
      <c r="J243" s="59">
        <f>IFERROR(__xludf.DUMMYFUNCTION("""COMPUTED_VALUE"""),0.0)</f>
        <v>0</v>
      </c>
      <c r="K243" s="56">
        <f>IFERROR(__xludf.DUMMYFUNCTION("""COMPUTED_VALUE"""),0.0)</f>
        <v>0</v>
      </c>
      <c r="L243" s="57"/>
      <c r="M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8"/>
      <c r="J244" s="59">
        <f>IFERROR(__xludf.DUMMYFUNCTION("""COMPUTED_VALUE"""),0.0)</f>
        <v>0</v>
      </c>
      <c r="K244" s="56">
        <f>IFERROR(__xludf.DUMMYFUNCTION("""COMPUTED_VALUE"""),0.0)</f>
        <v>0</v>
      </c>
      <c r="L244" s="57"/>
      <c r="M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8"/>
      <c r="J245" s="59">
        <f>IFERROR(__xludf.DUMMYFUNCTION("""COMPUTED_VALUE"""),0.0)</f>
        <v>0</v>
      </c>
      <c r="K245" s="56">
        <f>IFERROR(__xludf.DUMMYFUNCTION("""COMPUTED_VALUE"""),0.0)</f>
        <v>0</v>
      </c>
      <c r="L245" s="57"/>
      <c r="M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8"/>
      <c r="J246" s="59">
        <f>IFERROR(__xludf.DUMMYFUNCTION("""COMPUTED_VALUE"""),0.0)</f>
        <v>0</v>
      </c>
      <c r="K246" s="56">
        <f>IFERROR(__xludf.DUMMYFUNCTION("""COMPUTED_VALUE"""),0.0)</f>
        <v>0</v>
      </c>
      <c r="L246" s="57"/>
      <c r="M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8"/>
      <c r="J247" s="59">
        <f>IFERROR(__xludf.DUMMYFUNCTION("""COMPUTED_VALUE"""),0.0)</f>
        <v>0</v>
      </c>
      <c r="K247" s="56">
        <f>IFERROR(__xludf.DUMMYFUNCTION("""COMPUTED_VALUE"""),0.0)</f>
        <v>0</v>
      </c>
      <c r="L247" s="57"/>
      <c r="M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8"/>
      <c r="J248" s="59">
        <f>IFERROR(__xludf.DUMMYFUNCTION("""COMPUTED_VALUE"""),0.0)</f>
        <v>0</v>
      </c>
      <c r="K248" s="56">
        <f>IFERROR(__xludf.DUMMYFUNCTION("""COMPUTED_VALUE"""),0.0)</f>
        <v>0</v>
      </c>
      <c r="L248" s="57"/>
      <c r="M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8"/>
      <c r="J249" s="59">
        <f>IFERROR(__xludf.DUMMYFUNCTION("""COMPUTED_VALUE"""),0.0)</f>
        <v>0</v>
      </c>
      <c r="K249" s="56">
        <f>IFERROR(__xludf.DUMMYFUNCTION("""COMPUTED_VALUE"""),0.0)</f>
        <v>0</v>
      </c>
      <c r="L249" s="57"/>
      <c r="M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8"/>
      <c r="J250" s="59">
        <f>IFERROR(__xludf.DUMMYFUNCTION("""COMPUTED_VALUE"""),0.0)</f>
        <v>0</v>
      </c>
      <c r="K250" s="56">
        <f>IFERROR(__xludf.DUMMYFUNCTION("""COMPUTED_VALUE"""),0.0)</f>
        <v>0</v>
      </c>
      <c r="L250" s="57"/>
      <c r="M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8"/>
      <c r="J251" s="59">
        <f>IFERROR(__xludf.DUMMYFUNCTION("""COMPUTED_VALUE"""),0.0)</f>
        <v>0</v>
      </c>
      <c r="K251" s="56">
        <f>IFERROR(__xludf.DUMMYFUNCTION("""COMPUTED_VALUE"""),0.0)</f>
        <v>0</v>
      </c>
      <c r="L251" s="57"/>
      <c r="M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8"/>
      <c r="J252" s="59">
        <f>IFERROR(__xludf.DUMMYFUNCTION("""COMPUTED_VALUE"""),0.0)</f>
        <v>0</v>
      </c>
      <c r="K252" s="56">
        <f>IFERROR(__xludf.DUMMYFUNCTION("""COMPUTED_VALUE"""),0.0)</f>
        <v>0</v>
      </c>
      <c r="L252" s="57"/>
      <c r="M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8"/>
      <c r="J253" s="59">
        <f>IFERROR(__xludf.DUMMYFUNCTION("""COMPUTED_VALUE"""),0.0)</f>
        <v>0</v>
      </c>
      <c r="K253" s="56">
        <f>IFERROR(__xludf.DUMMYFUNCTION("""COMPUTED_VALUE"""),0.0)</f>
        <v>0</v>
      </c>
      <c r="L253" s="57"/>
      <c r="M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8"/>
      <c r="J254" s="59">
        <f>IFERROR(__xludf.DUMMYFUNCTION("""COMPUTED_VALUE"""),0.0)</f>
        <v>0</v>
      </c>
      <c r="K254" s="56">
        <f>IFERROR(__xludf.DUMMYFUNCTION("""COMPUTED_VALUE"""),0.0)</f>
        <v>0</v>
      </c>
      <c r="L254" s="57"/>
      <c r="M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8"/>
      <c r="J255" s="59">
        <f>IFERROR(__xludf.DUMMYFUNCTION("""COMPUTED_VALUE"""),0.0)</f>
        <v>0</v>
      </c>
      <c r="K255" s="56">
        <f>IFERROR(__xludf.DUMMYFUNCTION("""COMPUTED_VALUE"""),0.0)</f>
        <v>0</v>
      </c>
      <c r="L255" s="57"/>
      <c r="M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8"/>
      <c r="J256" s="59">
        <f>IFERROR(__xludf.DUMMYFUNCTION("""COMPUTED_VALUE"""),0.0)</f>
        <v>0</v>
      </c>
      <c r="K256" s="56">
        <f>IFERROR(__xludf.DUMMYFUNCTION("""COMPUTED_VALUE"""),0.0)</f>
        <v>0</v>
      </c>
      <c r="L256" s="57"/>
      <c r="M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8"/>
      <c r="J257" s="59">
        <f>IFERROR(__xludf.DUMMYFUNCTION("""COMPUTED_VALUE"""),0.0)</f>
        <v>0</v>
      </c>
      <c r="K257" s="56">
        <f>IFERROR(__xludf.DUMMYFUNCTION("""COMPUTED_VALUE"""),0.0)</f>
        <v>0</v>
      </c>
      <c r="L257" s="57"/>
      <c r="M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8"/>
      <c r="J258" s="59">
        <f>IFERROR(__xludf.DUMMYFUNCTION("""COMPUTED_VALUE"""),0.0)</f>
        <v>0</v>
      </c>
      <c r="K258" s="56">
        <f>IFERROR(__xludf.DUMMYFUNCTION("""COMPUTED_VALUE"""),0.0)</f>
        <v>0</v>
      </c>
      <c r="L258" s="57"/>
      <c r="M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8"/>
      <c r="J259" s="59">
        <f>IFERROR(__xludf.DUMMYFUNCTION("""COMPUTED_VALUE"""),0.0)</f>
        <v>0</v>
      </c>
      <c r="K259" s="56">
        <f>IFERROR(__xludf.DUMMYFUNCTION("""COMPUTED_VALUE"""),0.0)</f>
        <v>0</v>
      </c>
      <c r="L259" s="57"/>
      <c r="M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8"/>
      <c r="J260" s="59">
        <f>IFERROR(__xludf.DUMMYFUNCTION("""COMPUTED_VALUE"""),0.0)</f>
        <v>0</v>
      </c>
      <c r="K260" s="56">
        <f>IFERROR(__xludf.DUMMYFUNCTION("""COMPUTED_VALUE"""),0.0)</f>
        <v>0</v>
      </c>
      <c r="L260" s="57"/>
      <c r="M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8"/>
      <c r="J261" s="59">
        <f>IFERROR(__xludf.DUMMYFUNCTION("""COMPUTED_VALUE"""),0.0)</f>
        <v>0</v>
      </c>
      <c r="K261" s="56">
        <f>IFERROR(__xludf.DUMMYFUNCTION("""COMPUTED_VALUE"""),0.0)</f>
        <v>0</v>
      </c>
      <c r="L261" s="57"/>
      <c r="M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8"/>
      <c r="J262" s="59">
        <f>IFERROR(__xludf.DUMMYFUNCTION("""COMPUTED_VALUE"""),0.0)</f>
        <v>0</v>
      </c>
      <c r="K262" s="56">
        <f>IFERROR(__xludf.DUMMYFUNCTION("""COMPUTED_VALUE"""),0.0)</f>
        <v>0</v>
      </c>
      <c r="L262" s="57"/>
      <c r="M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8"/>
      <c r="J263" s="59">
        <f>IFERROR(__xludf.DUMMYFUNCTION("""COMPUTED_VALUE"""),0.0)</f>
        <v>0</v>
      </c>
      <c r="K263" s="56">
        <f>IFERROR(__xludf.DUMMYFUNCTION("""COMPUTED_VALUE"""),0.0)</f>
        <v>0</v>
      </c>
      <c r="L263" s="57"/>
      <c r="M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8"/>
      <c r="J264" s="59">
        <f>IFERROR(__xludf.DUMMYFUNCTION("""COMPUTED_VALUE"""),0.0)</f>
        <v>0</v>
      </c>
      <c r="K264" s="56">
        <f>IFERROR(__xludf.DUMMYFUNCTION("""COMPUTED_VALUE"""),0.0)</f>
        <v>0</v>
      </c>
      <c r="L264" s="57"/>
      <c r="M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8"/>
      <c r="J265" s="59">
        <f>IFERROR(__xludf.DUMMYFUNCTION("""COMPUTED_VALUE"""),0.0)</f>
        <v>0</v>
      </c>
      <c r="K265" s="56">
        <f>IFERROR(__xludf.DUMMYFUNCTION("""COMPUTED_VALUE"""),0.0)</f>
        <v>0</v>
      </c>
      <c r="L265" s="57"/>
      <c r="M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8"/>
      <c r="J266" s="59">
        <f>IFERROR(__xludf.DUMMYFUNCTION("""COMPUTED_VALUE"""),0.0)</f>
        <v>0</v>
      </c>
      <c r="K266" s="56">
        <f>IFERROR(__xludf.DUMMYFUNCTION("""COMPUTED_VALUE"""),0.0)</f>
        <v>0</v>
      </c>
      <c r="L266" s="57"/>
      <c r="M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8"/>
      <c r="J267" s="59">
        <f>IFERROR(__xludf.DUMMYFUNCTION("""COMPUTED_VALUE"""),0.0)</f>
        <v>0</v>
      </c>
      <c r="K267" s="56">
        <f>IFERROR(__xludf.DUMMYFUNCTION("""COMPUTED_VALUE"""),0.0)</f>
        <v>0</v>
      </c>
      <c r="L267" s="57"/>
      <c r="M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8"/>
      <c r="J268" s="59">
        <f>IFERROR(__xludf.DUMMYFUNCTION("""COMPUTED_VALUE"""),0.0)</f>
        <v>0</v>
      </c>
      <c r="K268" s="56">
        <f>IFERROR(__xludf.DUMMYFUNCTION("""COMPUTED_VALUE"""),0.0)</f>
        <v>0</v>
      </c>
      <c r="L268" s="57"/>
      <c r="M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8"/>
      <c r="J269" s="59">
        <f>IFERROR(__xludf.DUMMYFUNCTION("""COMPUTED_VALUE"""),0.0)</f>
        <v>0</v>
      </c>
      <c r="K269" s="56">
        <f>IFERROR(__xludf.DUMMYFUNCTION("""COMPUTED_VALUE"""),0.0)</f>
        <v>0</v>
      </c>
      <c r="L269" s="57"/>
      <c r="M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8"/>
      <c r="J270" s="59">
        <f>IFERROR(__xludf.DUMMYFUNCTION("""COMPUTED_VALUE"""),0.0)</f>
        <v>0</v>
      </c>
      <c r="K270" s="56">
        <f>IFERROR(__xludf.DUMMYFUNCTION("""COMPUTED_VALUE"""),0.0)</f>
        <v>0</v>
      </c>
      <c r="L270" s="57"/>
      <c r="M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8"/>
      <c r="J271" s="59">
        <f>IFERROR(__xludf.DUMMYFUNCTION("""COMPUTED_VALUE"""),0.0)</f>
        <v>0</v>
      </c>
      <c r="K271" s="56">
        <f>IFERROR(__xludf.DUMMYFUNCTION("""COMPUTED_VALUE"""),0.0)</f>
        <v>0</v>
      </c>
      <c r="L271" s="57"/>
      <c r="M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8"/>
      <c r="J272" s="59">
        <f>IFERROR(__xludf.DUMMYFUNCTION("""COMPUTED_VALUE"""),0.0)</f>
        <v>0</v>
      </c>
      <c r="K272" s="56">
        <f>IFERROR(__xludf.DUMMYFUNCTION("""COMPUTED_VALUE"""),0.0)</f>
        <v>0</v>
      </c>
      <c r="L272" s="57"/>
      <c r="M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8"/>
      <c r="J273" s="59">
        <f>IFERROR(__xludf.DUMMYFUNCTION("""COMPUTED_VALUE"""),0.0)</f>
        <v>0</v>
      </c>
      <c r="K273" s="56">
        <f>IFERROR(__xludf.DUMMYFUNCTION("""COMPUTED_VALUE"""),0.0)</f>
        <v>0</v>
      </c>
      <c r="L273" s="57"/>
      <c r="M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8"/>
      <c r="J274" s="59">
        <f>IFERROR(__xludf.DUMMYFUNCTION("""COMPUTED_VALUE"""),0.0)</f>
        <v>0</v>
      </c>
      <c r="K274" s="56">
        <f>IFERROR(__xludf.DUMMYFUNCTION("""COMPUTED_VALUE"""),0.0)</f>
        <v>0</v>
      </c>
      <c r="L274" s="57"/>
      <c r="M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8"/>
      <c r="J275" s="59">
        <f>IFERROR(__xludf.DUMMYFUNCTION("""COMPUTED_VALUE"""),0.0)</f>
        <v>0</v>
      </c>
      <c r="K275" s="56">
        <f>IFERROR(__xludf.DUMMYFUNCTION("""COMPUTED_VALUE"""),0.0)</f>
        <v>0</v>
      </c>
      <c r="L275" s="57"/>
      <c r="M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8"/>
      <c r="J276" s="59">
        <f>IFERROR(__xludf.DUMMYFUNCTION("""COMPUTED_VALUE"""),0.0)</f>
        <v>0</v>
      </c>
      <c r="K276" s="56">
        <f>IFERROR(__xludf.DUMMYFUNCTION("""COMPUTED_VALUE"""),0.0)</f>
        <v>0</v>
      </c>
      <c r="L276" s="57"/>
      <c r="M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8"/>
      <c r="J277" s="59">
        <f>IFERROR(__xludf.DUMMYFUNCTION("""COMPUTED_VALUE"""),0.0)</f>
        <v>0</v>
      </c>
      <c r="K277" s="56">
        <f>IFERROR(__xludf.DUMMYFUNCTION("""COMPUTED_VALUE"""),0.0)</f>
        <v>0</v>
      </c>
      <c r="L277" s="57"/>
      <c r="M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8"/>
      <c r="J278" s="59">
        <f>IFERROR(__xludf.DUMMYFUNCTION("""COMPUTED_VALUE"""),0.0)</f>
        <v>0</v>
      </c>
      <c r="K278" s="56">
        <f>IFERROR(__xludf.DUMMYFUNCTION("""COMPUTED_VALUE"""),0.0)</f>
        <v>0</v>
      </c>
      <c r="L278" s="57"/>
      <c r="M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8"/>
      <c r="J279" s="59">
        <f>IFERROR(__xludf.DUMMYFUNCTION("""COMPUTED_VALUE"""),0.0)</f>
        <v>0</v>
      </c>
      <c r="K279" s="56">
        <f>IFERROR(__xludf.DUMMYFUNCTION("""COMPUTED_VALUE"""),0.0)</f>
        <v>0</v>
      </c>
      <c r="L279" s="57"/>
      <c r="M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8"/>
      <c r="J280" s="59">
        <f>IFERROR(__xludf.DUMMYFUNCTION("""COMPUTED_VALUE"""),0.0)</f>
        <v>0</v>
      </c>
      <c r="K280" s="56">
        <f>IFERROR(__xludf.DUMMYFUNCTION("""COMPUTED_VALUE"""),0.0)</f>
        <v>0</v>
      </c>
      <c r="L280" s="57"/>
      <c r="M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8"/>
      <c r="J281" s="59">
        <f>IFERROR(__xludf.DUMMYFUNCTION("""COMPUTED_VALUE"""),0.0)</f>
        <v>0</v>
      </c>
      <c r="K281" s="56">
        <f>IFERROR(__xludf.DUMMYFUNCTION("""COMPUTED_VALUE"""),0.0)</f>
        <v>0</v>
      </c>
      <c r="L281" s="57"/>
      <c r="M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8"/>
      <c r="J282" s="59">
        <f>IFERROR(__xludf.DUMMYFUNCTION("""COMPUTED_VALUE"""),0.0)</f>
        <v>0</v>
      </c>
      <c r="K282" s="56">
        <f>IFERROR(__xludf.DUMMYFUNCTION("""COMPUTED_VALUE"""),0.0)</f>
        <v>0</v>
      </c>
      <c r="L282" s="57"/>
      <c r="M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8"/>
      <c r="J283" s="59">
        <f>IFERROR(__xludf.DUMMYFUNCTION("""COMPUTED_VALUE"""),0.0)</f>
        <v>0</v>
      </c>
      <c r="K283" s="56">
        <f>IFERROR(__xludf.DUMMYFUNCTION("""COMPUTED_VALUE"""),0.0)</f>
        <v>0</v>
      </c>
      <c r="L283" s="57"/>
      <c r="M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8"/>
      <c r="J284" s="59">
        <f>IFERROR(__xludf.DUMMYFUNCTION("""COMPUTED_VALUE"""),0.0)</f>
        <v>0</v>
      </c>
      <c r="K284" s="56">
        <f>IFERROR(__xludf.DUMMYFUNCTION("""COMPUTED_VALUE"""),0.0)</f>
        <v>0</v>
      </c>
      <c r="L284" s="57"/>
      <c r="M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8"/>
      <c r="J285" s="59">
        <f>IFERROR(__xludf.DUMMYFUNCTION("""COMPUTED_VALUE"""),0.0)</f>
        <v>0</v>
      </c>
      <c r="K285" s="56">
        <f>IFERROR(__xludf.DUMMYFUNCTION("""COMPUTED_VALUE"""),0.0)</f>
        <v>0</v>
      </c>
      <c r="L285" s="57"/>
      <c r="M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8"/>
      <c r="J286" s="59">
        <f>IFERROR(__xludf.DUMMYFUNCTION("""COMPUTED_VALUE"""),0.0)</f>
        <v>0</v>
      </c>
      <c r="K286" s="56">
        <f>IFERROR(__xludf.DUMMYFUNCTION("""COMPUTED_VALUE"""),0.0)</f>
        <v>0</v>
      </c>
      <c r="L286" s="57"/>
      <c r="M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8"/>
      <c r="J287" s="59">
        <f>IFERROR(__xludf.DUMMYFUNCTION("""COMPUTED_VALUE"""),0.0)</f>
        <v>0</v>
      </c>
      <c r="K287" s="56">
        <f>IFERROR(__xludf.DUMMYFUNCTION("""COMPUTED_VALUE"""),0.0)</f>
        <v>0</v>
      </c>
      <c r="L287" s="57"/>
      <c r="M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8"/>
      <c r="J288" s="59">
        <f>IFERROR(__xludf.DUMMYFUNCTION("""COMPUTED_VALUE"""),0.0)</f>
        <v>0</v>
      </c>
      <c r="K288" s="56">
        <f>IFERROR(__xludf.DUMMYFUNCTION("""COMPUTED_VALUE"""),0.0)</f>
        <v>0</v>
      </c>
      <c r="L288" s="57"/>
      <c r="M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8"/>
      <c r="J289" s="59">
        <f>IFERROR(__xludf.DUMMYFUNCTION("""COMPUTED_VALUE"""),0.0)</f>
        <v>0</v>
      </c>
      <c r="K289" s="56">
        <f>IFERROR(__xludf.DUMMYFUNCTION("""COMPUTED_VALUE"""),0.0)</f>
        <v>0</v>
      </c>
      <c r="L289" s="57"/>
      <c r="M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8"/>
      <c r="J290" s="59">
        <f>IFERROR(__xludf.DUMMYFUNCTION("""COMPUTED_VALUE"""),0.0)</f>
        <v>0</v>
      </c>
      <c r="K290" s="56">
        <f>IFERROR(__xludf.DUMMYFUNCTION("""COMPUTED_VALUE"""),0.0)</f>
        <v>0</v>
      </c>
      <c r="L290" s="57"/>
      <c r="M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8"/>
      <c r="J291" s="59">
        <f>IFERROR(__xludf.DUMMYFUNCTION("""COMPUTED_VALUE"""),0.0)</f>
        <v>0</v>
      </c>
      <c r="K291" s="56">
        <f>IFERROR(__xludf.DUMMYFUNCTION("""COMPUTED_VALUE"""),0.0)</f>
        <v>0</v>
      </c>
      <c r="L291" s="57"/>
      <c r="M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8"/>
      <c r="J292" s="59">
        <f>IFERROR(__xludf.DUMMYFUNCTION("""COMPUTED_VALUE"""),0.0)</f>
        <v>0</v>
      </c>
      <c r="K292" s="56">
        <f>IFERROR(__xludf.DUMMYFUNCTION("""COMPUTED_VALUE"""),0.0)</f>
        <v>0</v>
      </c>
      <c r="L292" s="57"/>
      <c r="M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8"/>
      <c r="J293" s="59">
        <f>IFERROR(__xludf.DUMMYFUNCTION("""COMPUTED_VALUE"""),0.0)</f>
        <v>0</v>
      </c>
      <c r="K293" s="56">
        <f>IFERROR(__xludf.DUMMYFUNCTION("""COMPUTED_VALUE"""),0.0)</f>
        <v>0</v>
      </c>
      <c r="L293" s="57"/>
      <c r="M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8"/>
      <c r="J294" s="59">
        <f>IFERROR(__xludf.DUMMYFUNCTION("""COMPUTED_VALUE"""),0.0)</f>
        <v>0</v>
      </c>
      <c r="K294" s="56">
        <f>IFERROR(__xludf.DUMMYFUNCTION("""COMPUTED_VALUE"""),0.0)</f>
        <v>0</v>
      </c>
      <c r="L294" s="57"/>
      <c r="M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8"/>
      <c r="J295" s="59">
        <f>IFERROR(__xludf.DUMMYFUNCTION("""COMPUTED_VALUE"""),0.0)</f>
        <v>0</v>
      </c>
      <c r="K295" s="56">
        <f>IFERROR(__xludf.DUMMYFUNCTION("""COMPUTED_VALUE"""),0.0)</f>
        <v>0</v>
      </c>
      <c r="L295" s="57"/>
      <c r="M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8"/>
      <c r="J296" s="59">
        <f>IFERROR(__xludf.DUMMYFUNCTION("""COMPUTED_VALUE"""),0.0)</f>
        <v>0</v>
      </c>
      <c r="K296" s="56">
        <f>IFERROR(__xludf.DUMMYFUNCTION("""COMPUTED_VALUE"""),0.0)</f>
        <v>0</v>
      </c>
      <c r="L296" s="57"/>
      <c r="M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8"/>
      <c r="J297" s="59">
        <f>IFERROR(__xludf.DUMMYFUNCTION("""COMPUTED_VALUE"""),0.0)</f>
        <v>0</v>
      </c>
      <c r="K297" s="56">
        <f>IFERROR(__xludf.DUMMYFUNCTION("""COMPUTED_VALUE"""),0.0)</f>
        <v>0</v>
      </c>
      <c r="L297" s="57"/>
      <c r="M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8"/>
      <c r="J298" s="59">
        <f>IFERROR(__xludf.DUMMYFUNCTION("""COMPUTED_VALUE"""),0.0)</f>
        <v>0</v>
      </c>
      <c r="K298" s="56">
        <f>IFERROR(__xludf.DUMMYFUNCTION("""COMPUTED_VALUE"""),0.0)</f>
        <v>0</v>
      </c>
      <c r="L298" s="57"/>
      <c r="M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8"/>
      <c r="J299" s="59">
        <f>IFERROR(__xludf.DUMMYFUNCTION("""COMPUTED_VALUE"""),0.0)</f>
        <v>0</v>
      </c>
      <c r="K299" s="56">
        <f>IFERROR(__xludf.DUMMYFUNCTION("""COMPUTED_VALUE"""),0.0)</f>
        <v>0</v>
      </c>
      <c r="L299" s="57"/>
      <c r="M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8"/>
      <c r="J300" s="59">
        <f>IFERROR(__xludf.DUMMYFUNCTION("""COMPUTED_VALUE"""),0.0)</f>
        <v>0</v>
      </c>
      <c r="K300" s="56">
        <f>IFERROR(__xludf.DUMMYFUNCTION("""COMPUTED_VALUE"""),0.0)</f>
        <v>0</v>
      </c>
      <c r="L300" s="57"/>
      <c r="M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8"/>
      <c r="J301" s="59">
        <f>IFERROR(__xludf.DUMMYFUNCTION("""COMPUTED_VALUE"""),0.0)</f>
        <v>0</v>
      </c>
      <c r="K301" s="56">
        <f>IFERROR(__xludf.DUMMYFUNCTION("""COMPUTED_VALUE"""),0.0)</f>
        <v>0</v>
      </c>
      <c r="L301" s="57"/>
      <c r="M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8"/>
      <c r="J302" s="59">
        <f>IFERROR(__xludf.DUMMYFUNCTION("""COMPUTED_VALUE"""),0.0)</f>
        <v>0</v>
      </c>
      <c r="K302" s="56">
        <f>IFERROR(__xludf.DUMMYFUNCTION("""COMPUTED_VALUE"""),0.0)</f>
        <v>0</v>
      </c>
      <c r="L302" s="57"/>
      <c r="M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8"/>
      <c r="J303" s="59">
        <f>IFERROR(__xludf.DUMMYFUNCTION("""COMPUTED_VALUE"""),0.0)</f>
        <v>0</v>
      </c>
      <c r="K303" s="56">
        <f>IFERROR(__xludf.DUMMYFUNCTION("""COMPUTED_VALUE"""),0.0)</f>
        <v>0</v>
      </c>
      <c r="L303" s="57"/>
      <c r="M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8"/>
      <c r="J304" s="59">
        <f>IFERROR(__xludf.DUMMYFUNCTION("""COMPUTED_VALUE"""),0.0)</f>
        <v>0</v>
      </c>
      <c r="K304" s="56">
        <f>IFERROR(__xludf.DUMMYFUNCTION("""COMPUTED_VALUE"""),0.0)</f>
        <v>0</v>
      </c>
      <c r="L304" s="57"/>
      <c r="M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8"/>
      <c r="J305" s="59">
        <f>IFERROR(__xludf.DUMMYFUNCTION("""COMPUTED_VALUE"""),0.0)</f>
        <v>0</v>
      </c>
      <c r="K305" s="56">
        <f>IFERROR(__xludf.DUMMYFUNCTION("""COMPUTED_VALUE"""),0.0)</f>
        <v>0</v>
      </c>
      <c r="L305" s="57"/>
      <c r="M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8"/>
      <c r="J306" s="59">
        <f>IFERROR(__xludf.DUMMYFUNCTION("""COMPUTED_VALUE"""),0.0)</f>
        <v>0</v>
      </c>
      <c r="K306" s="56">
        <f>IFERROR(__xludf.DUMMYFUNCTION("""COMPUTED_VALUE"""),0.0)</f>
        <v>0</v>
      </c>
      <c r="L306" s="57"/>
      <c r="M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8"/>
      <c r="J307" s="59">
        <f>IFERROR(__xludf.DUMMYFUNCTION("""COMPUTED_VALUE"""),0.0)</f>
        <v>0</v>
      </c>
      <c r="K307" s="56">
        <f>IFERROR(__xludf.DUMMYFUNCTION("""COMPUTED_VALUE"""),0.0)</f>
        <v>0</v>
      </c>
      <c r="L307" s="57"/>
      <c r="M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8"/>
      <c r="J308" s="59">
        <f>IFERROR(__xludf.DUMMYFUNCTION("""COMPUTED_VALUE"""),0.0)</f>
        <v>0</v>
      </c>
      <c r="K308" s="56">
        <f>IFERROR(__xludf.DUMMYFUNCTION("""COMPUTED_VALUE"""),0.0)</f>
        <v>0</v>
      </c>
      <c r="L308" s="57"/>
      <c r="M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8"/>
      <c r="J309" s="59">
        <f>IFERROR(__xludf.DUMMYFUNCTION("""COMPUTED_VALUE"""),0.0)</f>
        <v>0</v>
      </c>
      <c r="K309" s="56">
        <f>IFERROR(__xludf.DUMMYFUNCTION("""COMPUTED_VALUE"""),0.0)</f>
        <v>0</v>
      </c>
      <c r="L309" s="57"/>
      <c r="M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8"/>
      <c r="J310" s="59">
        <f>IFERROR(__xludf.DUMMYFUNCTION("""COMPUTED_VALUE"""),0.0)</f>
        <v>0</v>
      </c>
      <c r="K310" s="56">
        <f>IFERROR(__xludf.DUMMYFUNCTION("""COMPUTED_VALUE"""),0.0)</f>
        <v>0</v>
      </c>
      <c r="L310" s="57"/>
      <c r="M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8"/>
      <c r="J311" s="59">
        <f>IFERROR(__xludf.DUMMYFUNCTION("""COMPUTED_VALUE"""),0.0)</f>
        <v>0</v>
      </c>
      <c r="K311" s="56">
        <f>IFERROR(__xludf.DUMMYFUNCTION("""COMPUTED_VALUE"""),0.0)</f>
        <v>0</v>
      </c>
      <c r="L311" s="57"/>
      <c r="M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60"/>
      <c r="J312" s="60"/>
      <c r="K312" s="57"/>
      <c r="L312" s="57"/>
      <c r="M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61"/>
      <c r="J313" s="61"/>
      <c r="K313" s="57"/>
      <c r="L313" s="57"/>
      <c r="M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60"/>
      <c r="J314" s="60"/>
      <c r="K314" s="57"/>
      <c r="L314" s="57"/>
      <c r="M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61"/>
      <c r="J315" s="61"/>
      <c r="K315" s="57"/>
      <c r="L315" s="57"/>
      <c r="M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60"/>
      <c r="J316" s="60"/>
      <c r="K316" s="57"/>
      <c r="L316" s="57"/>
      <c r="M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61"/>
      <c r="J317" s="61"/>
      <c r="K317" s="57"/>
      <c r="L317" s="57"/>
      <c r="M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60"/>
      <c r="J318" s="60"/>
      <c r="K318" s="57"/>
      <c r="L318" s="57"/>
      <c r="M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61"/>
      <c r="J319" s="61"/>
      <c r="K319" s="57"/>
      <c r="L319" s="57"/>
      <c r="M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60"/>
      <c r="J320" s="60"/>
      <c r="K320" s="57"/>
      <c r="L320" s="57"/>
      <c r="M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61"/>
      <c r="J321" s="61"/>
      <c r="K321" s="57"/>
      <c r="L321" s="57"/>
      <c r="M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60"/>
      <c r="J322" s="60"/>
      <c r="K322" s="57"/>
      <c r="L322" s="57"/>
      <c r="M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61"/>
      <c r="J323" s="61"/>
      <c r="K323" s="57"/>
      <c r="L323" s="57"/>
      <c r="M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60"/>
      <c r="J324" s="60"/>
      <c r="K324" s="57"/>
      <c r="L324" s="57"/>
      <c r="M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61"/>
      <c r="J325" s="61"/>
      <c r="K325" s="57"/>
      <c r="L325" s="57"/>
      <c r="M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60"/>
      <c r="J326" s="60"/>
      <c r="K326" s="57"/>
      <c r="L326" s="57"/>
      <c r="M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61"/>
      <c r="J327" s="61"/>
      <c r="K327" s="57"/>
      <c r="L327" s="57"/>
      <c r="M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60"/>
      <c r="J328" s="60"/>
      <c r="K328" s="57"/>
      <c r="L328" s="57"/>
      <c r="M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61"/>
      <c r="J329" s="61"/>
      <c r="K329" s="57"/>
      <c r="L329" s="57"/>
      <c r="M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60"/>
      <c r="J330" s="60"/>
      <c r="K330" s="57"/>
      <c r="L330" s="57"/>
      <c r="M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61"/>
      <c r="J331" s="61"/>
      <c r="K331" s="57"/>
      <c r="L331" s="57"/>
      <c r="M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60"/>
      <c r="J332" s="60"/>
      <c r="K332" s="57"/>
      <c r="L332" s="57"/>
      <c r="M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61"/>
      <c r="J333" s="61"/>
      <c r="K333" s="57"/>
      <c r="L333" s="57"/>
      <c r="M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60"/>
      <c r="J334" s="60"/>
      <c r="K334" s="57"/>
      <c r="L334" s="57"/>
      <c r="M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61"/>
      <c r="J335" s="61"/>
      <c r="K335" s="57"/>
      <c r="L335" s="57"/>
      <c r="M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60"/>
      <c r="J336" s="60"/>
      <c r="K336" s="57"/>
      <c r="L336" s="57"/>
      <c r="M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61"/>
      <c r="J337" s="61"/>
      <c r="K337" s="57"/>
      <c r="L337" s="57"/>
      <c r="M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60"/>
      <c r="J338" s="60"/>
      <c r="K338" s="57"/>
      <c r="L338" s="57"/>
      <c r="M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61"/>
      <c r="J339" s="61"/>
      <c r="K339" s="57"/>
      <c r="L339" s="57"/>
      <c r="M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60"/>
      <c r="J340" s="60"/>
      <c r="K340" s="57"/>
      <c r="L340" s="57"/>
      <c r="M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61"/>
      <c r="J341" s="61"/>
      <c r="K341" s="57"/>
      <c r="L341" s="57"/>
      <c r="M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60"/>
      <c r="J342" s="60"/>
      <c r="K342" s="57"/>
      <c r="L342" s="57"/>
      <c r="M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61"/>
      <c r="J343" s="61"/>
      <c r="K343" s="57"/>
      <c r="L343" s="57"/>
      <c r="M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60"/>
      <c r="J344" s="60"/>
      <c r="K344" s="57"/>
      <c r="L344" s="57"/>
      <c r="M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61"/>
      <c r="J345" s="61"/>
      <c r="K345" s="57"/>
      <c r="L345" s="57"/>
      <c r="M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60"/>
      <c r="J346" s="60"/>
      <c r="K346" s="57"/>
      <c r="L346" s="57"/>
      <c r="M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61"/>
      <c r="J347" s="61"/>
      <c r="K347" s="57"/>
      <c r="L347" s="57"/>
      <c r="M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60"/>
      <c r="J348" s="60"/>
      <c r="K348" s="57"/>
      <c r="L348" s="57"/>
      <c r="M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61"/>
      <c r="J349" s="61"/>
      <c r="K349" s="57"/>
      <c r="L349" s="57"/>
      <c r="M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60"/>
      <c r="J350" s="60"/>
      <c r="K350" s="57"/>
      <c r="L350" s="57"/>
      <c r="M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61"/>
      <c r="J351" s="61"/>
      <c r="K351" s="57"/>
      <c r="L351" s="57"/>
      <c r="M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60"/>
      <c r="J352" s="60"/>
      <c r="K352" s="57"/>
      <c r="L352" s="57"/>
      <c r="M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61"/>
      <c r="J353" s="61"/>
      <c r="K353" s="57"/>
      <c r="L353" s="57"/>
      <c r="M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60"/>
      <c r="J354" s="60"/>
      <c r="K354" s="57"/>
      <c r="L354" s="57"/>
      <c r="M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61"/>
      <c r="J355" s="61"/>
      <c r="K355" s="57"/>
      <c r="L355" s="57"/>
      <c r="M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60"/>
      <c r="J356" s="60"/>
      <c r="K356" s="57"/>
      <c r="L356" s="57"/>
      <c r="M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61"/>
      <c r="J357" s="61"/>
      <c r="K357" s="57"/>
      <c r="L357" s="57"/>
      <c r="M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60"/>
      <c r="J358" s="60"/>
      <c r="K358" s="57"/>
      <c r="L358" s="57"/>
      <c r="M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61"/>
      <c r="J359" s="61"/>
      <c r="K359" s="57"/>
      <c r="L359" s="57"/>
      <c r="M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60"/>
      <c r="J360" s="60"/>
      <c r="K360" s="57"/>
      <c r="L360" s="57"/>
      <c r="M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61"/>
      <c r="J361" s="61"/>
      <c r="K361" s="57"/>
      <c r="L361" s="57"/>
      <c r="M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60"/>
      <c r="J362" s="60"/>
      <c r="K362" s="57"/>
      <c r="L362" s="57"/>
      <c r="M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61"/>
      <c r="J363" s="61"/>
      <c r="K363" s="57"/>
      <c r="L363" s="57"/>
      <c r="M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60"/>
      <c r="J364" s="60"/>
      <c r="K364" s="57"/>
      <c r="L364" s="57"/>
      <c r="M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61"/>
      <c r="J365" s="61"/>
      <c r="K365" s="57"/>
      <c r="L365" s="57"/>
      <c r="M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60"/>
      <c r="J366" s="60"/>
      <c r="K366" s="57"/>
      <c r="L366" s="57"/>
      <c r="M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61"/>
      <c r="J367" s="61"/>
      <c r="K367" s="57"/>
      <c r="L367" s="57"/>
      <c r="M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60"/>
      <c r="J368" s="60"/>
      <c r="K368" s="57"/>
      <c r="L368" s="57"/>
      <c r="M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61"/>
      <c r="J369" s="61"/>
      <c r="K369" s="57"/>
      <c r="L369" s="57"/>
      <c r="M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60"/>
      <c r="J370" s="60"/>
      <c r="K370" s="57"/>
      <c r="L370" s="57"/>
      <c r="M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61"/>
      <c r="J371" s="61"/>
      <c r="K371" s="57"/>
      <c r="L371" s="57"/>
      <c r="M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60"/>
      <c r="J372" s="60"/>
      <c r="K372" s="57"/>
      <c r="L372" s="57"/>
      <c r="M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61"/>
      <c r="J373" s="61"/>
      <c r="K373" s="57"/>
      <c r="L373" s="57"/>
      <c r="M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60"/>
      <c r="J374" s="60"/>
      <c r="K374" s="57"/>
      <c r="L374" s="57"/>
      <c r="M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61"/>
      <c r="J375" s="61"/>
      <c r="K375" s="57"/>
      <c r="L375" s="57"/>
      <c r="M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60"/>
      <c r="J376" s="60"/>
      <c r="K376" s="57"/>
      <c r="L376" s="57"/>
      <c r="M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61"/>
      <c r="J377" s="61"/>
      <c r="K377" s="57"/>
      <c r="L377" s="57"/>
      <c r="M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60"/>
      <c r="J378" s="60"/>
      <c r="K378" s="57"/>
      <c r="L378" s="57"/>
      <c r="M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61"/>
      <c r="J379" s="61"/>
      <c r="K379" s="57"/>
      <c r="L379" s="57"/>
      <c r="M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60"/>
      <c r="J380" s="60"/>
      <c r="K380" s="57"/>
      <c r="L380" s="57"/>
      <c r="M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61"/>
      <c r="J381" s="61"/>
      <c r="K381" s="57"/>
      <c r="L381" s="57"/>
      <c r="M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60"/>
      <c r="J382" s="60"/>
      <c r="K382" s="57"/>
      <c r="L382" s="57"/>
      <c r="M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61"/>
      <c r="J383" s="61"/>
      <c r="K383" s="57"/>
      <c r="L383" s="57"/>
      <c r="M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60"/>
      <c r="J384" s="60"/>
      <c r="K384" s="57"/>
      <c r="L384" s="57"/>
      <c r="M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61"/>
      <c r="J385" s="61"/>
      <c r="K385" s="57"/>
      <c r="L385" s="57"/>
      <c r="M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60"/>
      <c r="J386" s="60"/>
      <c r="K386" s="57"/>
      <c r="L386" s="57"/>
      <c r="M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61"/>
      <c r="J387" s="61"/>
      <c r="K387" s="57"/>
      <c r="L387" s="57"/>
      <c r="M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60"/>
      <c r="J388" s="60"/>
      <c r="K388" s="57"/>
      <c r="L388" s="57"/>
      <c r="M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61"/>
      <c r="J389" s="61"/>
      <c r="K389" s="57"/>
      <c r="L389" s="57"/>
      <c r="M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60"/>
      <c r="J390" s="60"/>
      <c r="K390" s="57"/>
      <c r="L390" s="57"/>
      <c r="M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61"/>
      <c r="J391" s="61"/>
      <c r="K391" s="57"/>
      <c r="L391" s="57"/>
      <c r="M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60"/>
      <c r="J392" s="60"/>
      <c r="K392" s="57"/>
      <c r="L392" s="57"/>
      <c r="M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61"/>
      <c r="J393" s="61"/>
      <c r="K393" s="57"/>
      <c r="L393" s="57"/>
      <c r="M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60"/>
      <c r="J394" s="60"/>
      <c r="K394" s="57"/>
      <c r="L394" s="57"/>
      <c r="M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61"/>
      <c r="J395" s="61"/>
      <c r="K395" s="57"/>
      <c r="L395" s="57"/>
      <c r="M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60"/>
      <c r="J396" s="60"/>
      <c r="K396" s="57"/>
      <c r="L396" s="57"/>
      <c r="M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61"/>
      <c r="J397" s="61"/>
      <c r="K397" s="57"/>
      <c r="L397" s="57"/>
      <c r="M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60"/>
      <c r="J398" s="60"/>
      <c r="K398" s="57"/>
      <c r="L398" s="57"/>
      <c r="M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61"/>
      <c r="J399" s="61"/>
      <c r="K399" s="57"/>
      <c r="L399" s="57"/>
      <c r="M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60"/>
      <c r="J400" s="60"/>
      <c r="K400" s="57"/>
      <c r="L400" s="57"/>
      <c r="M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61"/>
      <c r="J401" s="61"/>
      <c r="K401" s="57"/>
      <c r="L401" s="57"/>
      <c r="M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60"/>
      <c r="J402" s="60"/>
      <c r="K402" s="57"/>
      <c r="L402" s="57"/>
      <c r="M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61"/>
      <c r="J403" s="61"/>
      <c r="K403" s="57"/>
      <c r="L403" s="57"/>
      <c r="M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60"/>
      <c r="J404" s="60"/>
      <c r="K404" s="57"/>
      <c r="L404" s="57"/>
      <c r="M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61"/>
      <c r="J405" s="61"/>
      <c r="K405" s="57"/>
      <c r="L405" s="57"/>
      <c r="M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60"/>
      <c r="J406" s="60"/>
      <c r="K406" s="57"/>
      <c r="L406" s="57"/>
      <c r="M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61"/>
      <c r="J407" s="61"/>
      <c r="K407" s="57"/>
      <c r="L407" s="57"/>
      <c r="M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60"/>
      <c r="J408" s="60"/>
      <c r="K408" s="57"/>
      <c r="L408" s="57"/>
      <c r="M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61"/>
      <c r="J409" s="61"/>
      <c r="K409" s="57"/>
      <c r="L409" s="57"/>
      <c r="M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60"/>
      <c r="J410" s="60"/>
      <c r="K410" s="57"/>
      <c r="L410" s="57"/>
      <c r="M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61"/>
      <c r="J411" s="61"/>
      <c r="K411" s="57"/>
      <c r="L411" s="57"/>
      <c r="M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60"/>
      <c r="J412" s="60"/>
      <c r="K412" s="57"/>
      <c r="L412" s="57"/>
      <c r="M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61"/>
      <c r="J413" s="61"/>
      <c r="K413" s="57"/>
      <c r="L413" s="57"/>
      <c r="M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60"/>
      <c r="J414" s="60"/>
      <c r="K414" s="57"/>
      <c r="L414" s="57"/>
      <c r="M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61"/>
      <c r="J415" s="61"/>
      <c r="K415" s="57"/>
      <c r="L415" s="57"/>
      <c r="M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60"/>
      <c r="J416" s="60"/>
      <c r="K416" s="57"/>
      <c r="L416" s="57"/>
      <c r="M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61"/>
      <c r="J417" s="61"/>
      <c r="K417" s="57"/>
      <c r="L417" s="57"/>
      <c r="M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60"/>
      <c r="J418" s="60"/>
      <c r="K418" s="57"/>
      <c r="L418" s="57"/>
      <c r="M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61"/>
      <c r="J419" s="61"/>
      <c r="K419" s="57"/>
      <c r="L419" s="57"/>
      <c r="M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60"/>
      <c r="J420" s="60"/>
      <c r="K420" s="57"/>
      <c r="L420" s="57"/>
      <c r="M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61"/>
      <c r="J421" s="61"/>
      <c r="K421" s="57"/>
      <c r="L421" s="57"/>
      <c r="M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60"/>
      <c r="J422" s="60"/>
      <c r="K422" s="57"/>
      <c r="L422" s="57"/>
      <c r="M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61"/>
      <c r="J423" s="61"/>
      <c r="K423" s="57"/>
      <c r="L423" s="57"/>
      <c r="M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60"/>
      <c r="J424" s="60"/>
      <c r="K424" s="57"/>
      <c r="L424" s="57"/>
      <c r="M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61"/>
      <c r="J425" s="61"/>
      <c r="K425" s="57"/>
      <c r="L425" s="57"/>
      <c r="M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60"/>
      <c r="J426" s="60"/>
      <c r="K426" s="57"/>
      <c r="L426" s="57"/>
      <c r="M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61"/>
      <c r="J427" s="61"/>
      <c r="K427" s="57"/>
      <c r="L427" s="57"/>
      <c r="M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60"/>
      <c r="J428" s="60"/>
      <c r="K428" s="57"/>
      <c r="L428" s="57"/>
      <c r="M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61"/>
      <c r="J429" s="61"/>
      <c r="K429" s="57"/>
      <c r="L429" s="57"/>
      <c r="M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60"/>
      <c r="J430" s="60"/>
      <c r="K430" s="57"/>
      <c r="L430" s="57"/>
      <c r="M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61"/>
      <c r="J431" s="61"/>
      <c r="K431" s="57"/>
      <c r="L431" s="57"/>
      <c r="M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60"/>
      <c r="J432" s="60"/>
      <c r="K432" s="57"/>
      <c r="L432" s="57"/>
      <c r="M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61"/>
      <c r="J433" s="61"/>
      <c r="K433" s="57"/>
      <c r="L433" s="57"/>
      <c r="M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60"/>
      <c r="J434" s="60"/>
      <c r="K434" s="57"/>
      <c r="L434" s="57"/>
      <c r="M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61"/>
      <c r="J435" s="61"/>
      <c r="K435" s="57"/>
      <c r="L435" s="57"/>
      <c r="M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60"/>
      <c r="J436" s="60"/>
      <c r="K436" s="57"/>
      <c r="L436" s="57"/>
      <c r="M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61"/>
      <c r="J437" s="61"/>
      <c r="K437" s="57"/>
      <c r="L437" s="57"/>
      <c r="M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60"/>
      <c r="J438" s="60"/>
      <c r="K438" s="57"/>
      <c r="L438" s="57"/>
      <c r="M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61"/>
      <c r="J439" s="61"/>
      <c r="K439" s="57"/>
      <c r="L439" s="57"/>
      <c r="M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60"/>
      <c r="J440" s="60"/>
      <c r="K440" s="57"/>
      <c r="L440" s="57"/>
      <c r="M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61"/>
      <c r="J441" s="61"/>
      <c r="K441" s="57"/>
      <c r="L441" s="57"/>
      <c r="M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60"/>
      <c r="J442" s="60"/>
      <c r="K442" s="57"/>
      <c r="L442" s="57"/>
      <c r="M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61"/>
      <c r="J443" s="61"/>
      <c r="K443" s="57"/>
      <c r="L443" s="57"/>
      <c r="M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60"/>
      <c r="J444" s="60"/>
      <c r="K444" s="57"/>
      <c r="L444" s="57"/>
      <c r="M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61"/>
      <c r="J445" s="61"/>
      <c r="K445" s="57"/>
      <c r="L445" s="57"/>
      <c r="M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60"/>
      <c r="J446" s="60"/>
      <c r="K446" s="57"/>
      <c r="L446" s="57"/>
      <c r="M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61"/>
      <c r="J447" s="61"/>
      <c r="K447" s="57"/>
      <c r="L447" s="57"/>
      <c r="M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60"/>
      <c r="J448" s="60"/>
      <c r="K448" s="57"/>
      <c r="L448" s="57"/>
      <c r="M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61"/>
      <c r="J449" s="61"/>
      <c r="K449" s="57"/>
      <c r="L449" s="57"/>
      <c r="M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60"/>
      <c r="J450" s="60"/>
      <c r="K450" s="57"/>
      <c r="L450" s="57"/>
      <c r="M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61"/>
      <c r="J451" s="61"/>
      <c r="K451" s="57"/>
      <c r="L451" s="57"/>
      <c r="M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60"/>
      <c r="J452" s="60"/>
      <c r="K452" s="57"/>
      <c r="L452" s="57"/>
      <c r="M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61"/>
      <c r="J453" s="61"/>
      <c r="K453" s="57"/>
      <c r="L453" s="57"/>
      <c r="M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60"/>
      <c r="J454" s="60"/>
      <c r="K454" s="57"/>
      <c r="L454" s="57"/>
      <c r="M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61"/>
      <c r="J455" s="61"/>
      <c r="K455" s="57"/>
      <c r="L455" s="57"/>
      <c r="M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60"/>
      <c r="J456" s="60"/>
      <c r="K456" s="57"/>
      <c r="L456" s="57"/>
      <c r="M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61"/>
      <c r="J457" s="61"/>
      <c r="K457" s="57"/>
      <c r="L457" s="57"/>
      <c r="M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60"/>
      <c r="J458" s="60"/>
      <c r="K458" s="57"/>
      <c r="L458" s="57"/>
      <c r="M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61"/>
      <c r="J459" s="61"/>
      <c r="K459" s="57"/>
      <c r="L459" s="57"/>
      <c r="M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60"/>
      <c r="J460" s="60"/>
      <c r="K460" s="57"/>
      <c r="L460" s="57"/>
      <c r="M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61"/>
      <c r="J461" s="61"/>
      <c r="K461" s="57"/>
      <c r="L461" s="57"/>
      <c r="M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60"/>
      <c r="J462" s="60"/>
      <c r="K462" s="57"/>
      <c r="L462" s="57"/>
      <c r="M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61"/>
      <c r="J463" s="61"/>
      <c r="K463" s="57"/>
      <c r="L463" s="57"/>
      <c r="M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60"/>
      <c r="J464" s="60"/>
      <c r="K464" s="57"/>
      <c r="L464" s="57"/>
      <c r="M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61"/>
      <c r="J465" s="61"/>
      <c r="K465" s="57"/>
      <c r="L465" s="57"/>
      <c r="M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60"/>
      <c r="J466" s="60"/>
      <c r="K466" s="57"/>
      <c r="L466" s="57"/>
      <c r="M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61"/>
      <c r="J467" s="61"/>
      <c r="K467" s="57"/>
      <c r="L467" s="57"/>
      <c r="M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60"/>
      <c r="J468" s="60"/>
      <c r="K468" s="57"/>
      <c r="L468" s="57"/>
      <c r="M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61"/>
      <c r="J469" s="61"/>
      <c r="K469" s="57"/>
      <c r="L469" s="57"/>
      <c r="M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60"/>
      <c r="J470" s="60"/>
      <c r="K470" s="57"/>
      <c r="L470" s="57"/>
      <c r="M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61"/>
      <c r="J471" s="61"/>
      <c r="K471" s="57"/>
      <c r="L471" s="57"/>
      <c r="M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60"/>
      <c r="J472" s="60"/>
      <c r="K472" s="57"/>
      <c r="L472" s="57"/>
      <c r="M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61"/>
      <c r="J473" s="61"/>
      <c r="K473" s="57"/>
      <c r="L473" s="57"/>
      <c r="M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60"/>
      <c r="J474" s="60"/>
      <c r="K474" s="57"/>
      <c r="L474" s="57"/>
      <c r="M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61"/>
      <c r="J475" s="61"/>
      <c r="K475" s="57"/>
      <c r="L475" s="57"/>
      <c r="M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60"/>
      <c r="J476" s="60"/>
      <c r="K476" s="57"/>
      <c r="L476" s="57"/>
      <c r="M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61"/>
      <c r="J477" s="61"/>
      <c r="K477" s="57"/>
      <c r="L477" s="57"/>
      <c r="M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60"/>
      <c r="J478" s="60"/>
      <c r="K478" s="57"/>
      <c r="L478" s="57"/>
      <c r="M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61"/>
      <c r="J479" s="61"/>
      <c r="K479" s="57"/>
      <c r="L479" s="57"/>
      <c r="M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60"/>
      <c r="J480" s="60"/>
      <c r="K480" s="57"/>
      <c r="L480" s="57"/>
      <c r="M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61"/>
      <c r="J481" s="61"/>
      <c r="K481" s="57"/>
      <c r="L481" s="57"/>
      <c r="M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60"/>
      <c r="J482" s="60"/>
      <c r="K482" s="57"/>
      <c r="L482" s="57"/>
      <c r="M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61"/>
      <c r="J483" s="61"/>
      <c r="K483" s="57"/>
      <c r="L483" s="57"/>
      <c r="M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60"/>
      <c r="J484" s="60"/>
      <c r="K484" s="57"/>
      <c r="L484" s="57"/>
      <c r="M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61"/>
      <c r="J485" s="61"/>
      <c r="K485" s="57"/>
      <c r="L485" s="57"/>
      <c r="M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60"/>
      <c r="J486" s="60"/>
      <c r="K486" s="57"/>
      <c r="L486" s="57"/>
      <c r="M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61"/>
      <c r="J487" s="61"/>
      <c r="K487" s="57"/>
      <c r="L487" s="57"/>
      <c r="M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60"/>
      <c r="J488" s="60"/>
      <c r="K488" s="57"/>
      <c r="L488" s="57"/>
      <c r="M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61"/>
      <c r="J489" s="61"/>
      <c r="K489" s="57"/>
      <c r="L489" s="57"/>
      <c r="M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60"/>
      <c r="J490" s="60"/>
      <c r="K490" s="57"/>
      <c r="L490" s="57"/>
      <c r="M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61"/>
      <c r="J491" s="61"/>
      <c r="K491" s="57"/>
      <c r="L491" s="57"/>
      <c r="M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60"/>
      <c r="J492" s="60"/>
      <c r="K492" s="57"/>
      <c r="L492" s="57"/>
      <c r="M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61"/>
      <c r="J493" s="61"/>
      <c r="K493" s="57"/>
      <c r="L493" s="57"/>
      <c r="M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60"/>
      <c r="J494" s="60"/>
      <c r="K494" s="57"/>
      <c r="L494" s="57"/>
      <c r="M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61"/>
      <c r="J495" s="61"/>
      <c r="K495" s="57"/>
      <c r="L495" s="57"/>
      <c r="M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60"/>
      <c r="J496" s="60"/>
      <c r="K496" s="57"/>
      <c r="L496" s="57"/>
      <c r="M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61"/>
      <c r="J497" s="61"/>
      <c r="K497" s="57"/>
      <c r="L497" s="57"/>
      <c r="M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60"/>
      <c r="J498" s="60"/>
      <c r="K498" s="57"/>
      <c r="L498" s="57"/>
      <c r="M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61"/>
      <c r="J499" s="61"/>
      <c r="K499" s="57"/>
      <c r="L499" s="57"/>
      <c r="M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60"/>
      <c r="J500" s="60"/>
      <c r="K500" s="57"/>
      <c r="L500" s="57"/>
      <c r="M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61"/>
      <c r="J501" s="61"/>
      <c r="K501" s="57"/>
      <c r="L501" s="57"/>
      <c r="M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60"/>
      <c r="J502" s="60"/>
      <c r="K502" s="57"/>
      <c r="L502" s="57"/>
      <c r="M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61"/>
      <c r="J503" s="61"/>
      <c r="K503" s="57"/>
      <c r="L503" s="57"/>
      <c r="M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60"/>
      <c r="J504" s="60"/>
      <c r="K504" s="57"/>
      <c r="L504" s="57"/>
      <c r="M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61"/>
      <c r="J505" s="61"/>
      <c r="K505" s="57"/>
      <c r="L505" s="57"/>
      <c r="M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60"/>
      <c r="J506" s="60"/>
      <c r="K506" s="57"/>
      <c r="L506" s="57"/>
      <c r="M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61"/>
      <c r="J507" s="61"/>
      <c r="K507" s="57"/>
      <c r="L507" s="57"/>
      <c r="M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60"/>
      <c r="J508" s="60"/>
      <c r="K508" s="57"/>
      <c r="L508" s="57"/>
      <c r="M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61"/>
      <c r="J509" s="61"/>
      <c r="K509" s="57"/>
      <c r="L509" s="57"/>
      <c r="M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60"/>
      <c r="J510" s="60"/>
      <c r="K510" s="57"/>
      <c r="L510" s="57"/>
      <c r="M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61"/>
      <c r="J511" s="61"/>
      <c r="K511" s="57"/>
      <c r="L511" s="57"/>
      <c r="M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60"/>
      <c r="J512" s="60"/>
      <c r="K512" s="57"/>
      <c r="L512" s="57"/>
      <c r="M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61"/>
      <c r="J513" s="61"/>
      <c r="K513" s="57"/>
      <c r="L513" s="57"/>
      <c r="M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60"/>
      <c r="J514" s="60"/>
      <c r="K514" s="57"/>
      <c r="L514" s="57"/>
      <c r="M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61"/>
      <c r="J515" s="61"/>
      <c r="K515" s="57"/>
      <c r="L515" s="57"/>
      <c r="M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60"/>
      <c r="J516" s="60"/>
      <c r="K516" s="57"/>
      <c r="L516" s="57"/>
      <c r="M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61"/>
      <c r="J517" s="61"/>
      <c r="K517" s="57"/>
      <c r="L517" s="57"/>
      <c r="M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60"/>
      <c r="J518" s="60"/>
      <c r="K518" s="57"/>
      <c r="L518" s="57"/>
      <c r="M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61"/>
      <c r="J519" s="61"/>
      <c r="K519" s="57"/>
      <c r="L519" s="57"/>
      <c r="M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60"/>
      <c r="J520" s="60"/>
      <c r="K520" s="57"/>
      <c r="L520" s="57"/>
      <c r="M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61"/>
      <c r="J521" s="61"/>
      <c r="K521" s="57"/>
      <c r="L521" s="57"/>
      <c r="M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60"/>
      <c r="J522" s="60"/>
      <c r="K522" s="57"/>
      <c r="L522" s="57"/>
      <c r="M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61"/>
      <c r="J523" s="61"/>
      <c r="K523" s="57"/>
      <c r="L523" s="57"/>
      <c r="M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60"/>
      <c r="J524" s="60"/>
      <c r="K524" s="57"/>
      <c r="L524" s="57"/>
      <c r="M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61"/>
      <c r="J525" s="61"/>
      <c r="K525" s="57"/>
      <c r="L525" s="57"/>
      <c r="M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60"/>
      <c r="J526" s="60"/>
      <c r="K526" s="57"/>
      <c r="L526" s="57"/>
      <c r="M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61"/>
      <c r="J527" s="61"/>
      <c r="K527" s="57"/>
      <c r="L527" s="57"/>
      <c r="M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60"/>
      <c r="J528" s="60"/>
      <c r="K528" s="57"/>
      <c r="L528" s="57"/>
      <c r="M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61"/>
      <c r="J529" s="61"/>
      <c r="K529" s="57"/>
      <c r="L529" s="57"/>
      <c r="M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60"/>
      <c r="J530" s="60"/>
      <c r="K530" s="57"/>
      <c r="L530" s="57"/>
      <c r="M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61"/>
      <c r="J531" s="61"/>
      <c r="K531" s="57"/>
      <c r="L531" s="57"/>
      <c r="M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60"/>
      <c r="J532" s="60"/>
      <c r="K532" s="57"/>
      <c r="L532" s="57"/>
      <c r="M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61"/>
      <c r="J533" s="61"/>
      <c r="K533" s="57"/>
      <c r="L533" s="57"/>
      <c r="M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60"/>
      <c r="J534" s="60"/>
      <c r="K534" s="57"/>
      <c r="L534" s="57"/>
      <c r="M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61"/>
      <c r="J535" s="61"/>
      <c r="K535" s="57"/>
      <c r="L535" s="57"/>
      <c r="M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60"/>
      <c r="J536" s="60"/>
      <c r="K536" s="57"/>
      <c r="L536" s="57"/>
      <c r="M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61"/>
      <c r="J537" s="61"/>
      <c r="K537" s="57"/>
      <c r="L537" s="57"/>
      <c r="M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60"/>
      <c r="J538" s="60"/>
      <c r="K538" s="57"/>
      <c r="L538" s="57"/>
      <c r="M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61"/>
      <c r="J539" s="61"/>
      <c r="K539" s="57"/>
      <c r="L539" s="57"/>
      <c r="M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60"/>
      <c r="J540" s="60"/>
      <c r="K540" s="57"/>
      <c r="L540" s="57"/>
      <c r="M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61"/>
      <c r="J541" s="61"/>
      <c r="K541" s="57"/>
      <c r="L541" s="57"/>
      <c r="M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60"/>
      <c r="J542" s="60"/>
      <c r="K542" s="57"/>
      <c r="L542" s="57"/>
      <c r="M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61"/>
      <c r="J543" s="61"/>
      <c r="K543" s="57"/>
      <c r="L543" s="57"/>
      <c r="M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60"/>
      <c r="J544" s="60"/>
      <c r="K544" s="57"/>
      <c r="L544" s="57"/>
      <c r="M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61"/>
      <c r="J545" s="61"/>
      <c r="K545" s="57"/>
      <c r="L545" s="57"/>
      <c r="M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60"/>
      <c r="J546" s="60"/>
      <c r="K546" s="57"/>
      <c r="L546" s="57"/>
      <c r="M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61"/>
      <c r="J547" s="61"/>
      <c r="K547" s="57"/>
      <c r="L547" s="57"/>
      <c r="M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60"/>
      <c r="J548" s="60"/>
      <c r="K548" s="57"/>
      <c r="L548" s="57"/>
      <c r="M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61"/>
      <c r="J549" s="61"/>
      <c r="K549" s="57"/>
      <c r="L549" s="57"/>
      <c r="M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60"/>
      <c r="J550" s="60"/>
      <c r="K550" s="57"/>
      <c r="L550" s="57"/>
      <c r="M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61"/>
      <c r="J551" s="61"/>
      <c r="K551" s="57"/>
      <c r="L551" s="57"/>
      <c r="M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60"/>
      <c r="J552" s="60"/>
      <c r="K552" s="57"/>
      <c r="L552" s="57"/>
      <c r="M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61"/>
      <c r="J553" s="61"/>
      <c r="K553" s="57"/>
      <c r="L553" s="57"/>
      <c r="M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60"/>
      <c r="J554" s="60"/>
      <c r="K554" s="57"/>
      <c r="L554" s="57"/>
      <c r="M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61"/>
      <c r="J555" s="61"/>
      <c r="K555" s="57"/>
      <c r="L555" s="57"/>
      <c r="M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60"/>
      <c r="J556" s="60"/>
      <c r="K556" s="57"/>
      <c r="L556" s="57"/>
      <c r="M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61"/>
      <c r="J557" s="61"/>
      <c r="K557" s="57"/>
      <c r="L557" s="57"/>
      <c r="M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60"/>
      <c r="J558" s="60"/>
      <c r="K558" s="57"/>
      <c r="L558" s="57"/>
      <c r="M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61"/>
      <c r="J559" s="61"/>
      <c r="K559" s="57"/>
      <c r="L559" s="57"/>
      <c r="M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60"/>
      <c r="J560" s="60"/>
      <c r="K560" s="57"/>
      <c r="L560" s="57"/>
      <c r="M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61"/>
      <c r="J561" s="61"/>
      <c r="K561" s="57"/>
      <c r="L561" s="57"/>
      <c r="M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60"/>
      <c r="J562" s="60"/>
      <c r="K562" s="57"/>
      <c r="L562" s="57"/>
      <c r="M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61"/>
      <c r="J563" s="61"/>
      <c r="K563" s="57"/>
      <c r="L563" s="57"/>
      <c r="M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60"/>
      <c r="J564" s="60"/>
      <c r="K564" s="57"/>
      <c r="L564" s="57"/>
      <c r="M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61"/>
      <c r="J565" s="61"/>
      <c r="K565" s="57"/>
      <c r="L565" s="57"/>
      <c r="M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60"/>
      <c r="J566" s="60"/>
      <c r="K566" s="57"/>
      <c r="L566" s="57"/>
      <c r="M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61"/>
      <c r="J567" s="61"/>
      <c r="K567" s="57"/>
      <c r="L567" s="57"/>
      <c r="M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60"/>
      <c r="J568" s="60"/>
      <c r="K568" s="57"/>
      <c r="L568" s="57"/>
      <c r="M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61"/>
      <c r="J569" s="61"/>
      <c r="K569" s="57"/>
      <c r="L569" s="57"/>
      <c r="M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60"/>
      <c r="J570" s="60"/>
      <c r="K570" s="57"/>
      <c r="L570" s="57"/>
      <c r="M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61"/>
      <c r="J571" s="61"/>
      <c r="K571" s="57"/>
      <c r="L571" s="57"/>
      <c r="M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60"/>
      <c r="J572" s="60"/>
      <c r="K572" s="57"/>
      <c r="L572" s="57"/>
      <c r="M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61"/>
      <c r="J573" s="61"/>
      <c r="K573" s="57"/>
      <c r="L573" s="57"/>
      <c r="M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60"/>
      <c r="J574" s="60"/>
      <c r="K574" s="57"/>
      <c r="L574" s="57"/>
      <c r="M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61"/>
      <c r="J575" s="61"/>
      <c r="K575" s="57"/>
      <c r="L575" s="57"/>
      <c r="M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60"/>
      <c r="J576" s="60"/>
      <c r="K576" s="57"/>
      <c r="L576" s="57"/>
      <c r="M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61"/>
      <c r="J577" s="61"/>
      <c r="K577" s="57"/>
      <c r="L577" s="57"/>
      <c r="M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60"/>
      <c r="J578" s="60"/>
      <c r="K578" s="57"/>
      <c r="L578" s="57"/>
      <c r="M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61"/>
      <c r="J579" s="61"/>
      <c r="K579" s="57"/>
      <c r="L579" s="57"/>
      <c r="M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60"/>
      <c r="J580" s="60"/>
      <c r="K580" s="57"/>
      <c r="L580" s="57"/>
      <c r="M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61"/>
      <c r="J581" s="61"/>
      <c r="K581" s="57"/>
      <c r="L581" s="57"/>
      <c r="M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60"/>
      <c r="J582" s="60"/>
      <c r="K582" s="57"/>
      <c r="L582" s="57"/>
      <c r="M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61"/>
      <c r="J583" s="61"/>
      <c r="K583" s="57"/>
      <c r="L583" s="57"/>
      <c r="M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60"/>
      <c r="J584" s="60"/>
      <c r="K584" s="57"/>
      <c r="L584" s="57"/>
      <c r="M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61"/>
      <c r="J585" s="61"/>
      <c r="K585" s="57"/>
      <c r="L585" s="57"/>
      <c r="M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60"/>
      <c r="J586" s="60"/>
      <c r="K586" s="57"/>
      <c r="L586" s="57"/>
      <c r="M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61"/>
      <c r="J587" s="61"/>
      <c r="K587" s="57"/>
      <c r="L587" s="57"/>
      <c r="M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60"/>
      <c r="J588" s="60"/>
      <c r="K588" s="57"/>
      <c r="L588" s="57"/>
      <c r="M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61"/>
      <c r="J589" s="61"/>
      <c r="K589" s="57"/>
      <c r="L589" s="57"/>
      <c r="M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60"/>
      <c r="J590" s="60"/>
      <c r="K590" s="57"/>
      <c r="L590" s="57"/>
      <c r="M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61"/>
      <c r="J591" s="61"/>
      <c r="K591" s="57"/>
      <c r="L591" s="57"/>
      <c r="M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60"/>
      <c r="J592" s="60"/>
      <c r="K592" s="57"/>
      <c r="L592" s="57"/>
      <c r="M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61"/>
      <c r="J593" s="61"/>
      <c r="K593" s="57"/>
      <c r="L593" s="57"/>
      <c r="M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60"/>
      <c r="J594" s="60"/>
      <c r="K594" s="57"/>
      <c r="L594" s="57"/>
      <c r="M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61"/>
      <c r="J595" s="61"/>
      <c r="K595" s="57"/>
      <c r="L595" s="57"/>
      <c r="M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60"/>
      <c r="J596" s="60"/>
      <c r="K596" s="57"/>
      <c r="L596" s="57"/>
      <c r="M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61"/>
      <c r="J597" s="61"/>
      <c r="K597" s="57"/>
      <c r="L597" s="57"/>
      <c r="M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60"/>
      <c r="J598" s="60"/>
      <c r="K598" s="57"/>
      <c r="L598" s="57"/>
      <c r="M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61"/>
      <c r="J599" s="61"/>
      <c r="K599" s="57"/>
      <c r="L599" s="57"/>
      <c r="M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60"/>
      <c r="J600" s="60"/>
      <c r="K600" s="57"/>
      <c r="L600" s="57"/>
      <c r="M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61"/>
      <c r="J601" s="61"/>
      <c r="K601" s="57"/>
      <c r="L601" s="57"/>
      <c r="M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60"/>
      <c r="J602" s="60"/>
      <c r="K602" s="57"/>
      <c r="L602" s="57"/>
      <c r="M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61"/>
      <c r="J603" s="61"/>
      <c r="K603" s="57"/>
      <c r="L603" s="57"/>
      <c r="M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60"/>
      <c r="J604" s="60"/>
      <c r="K604" s="57"/>
      <c r="L604" s="57"/>
      <c r="M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61"/>
      <c r="J605" s="61"/>
      <c r="K605" s="57"/>
      <c r="L605" s="57"/>
      <c r="M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60"/>
      <c r="J606" s="60"/>
      <c r="K606" s="57"/>
      <c r="L606" s="57"/>
      <c r="M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61"/>
      <c r="J607" s="61"/>
      <c r="K607" s="57"/>
      <c r="L607" s="57"/>
      <c r="M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60"/>
      <c r="J608" s="60"/>
      <c r="K608" s="57"/>
      <c r="L608" s="57"/>
      <c r="M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61"/>
      <c r="J609" s="61"/>
      <c r="K609" s="57"/>
      <c r="L609" s="57"/>
      <c r="M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60"/>
      <c r="J610" s="60"/>
      <c r="K610" s="57"/>
      <c r="L610" s="57"/>
      <c r="M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61"/>
      <c r="J611" s="61"/>
      <c r="K611" s="57"/>
      <c r="L611" s="57"/>
      <c r="M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60"/>
      <c r="J612" s="60"/>
      <c r="K612" s="57"/>
      <c r="L612" s="57"/>
      <c r="M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61"/>
      <c r="J613" s="61"/>
      <c r="K613" s="57"/>
      <c r="L613" s="57"/>
      <c r="M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60"/>
      <c r="J614" s="60"/>
      <c r="K614" s="57"/>
      <c r="L614" s="57"/>
      <c r="M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61"/>
      <c r="J615" s="61"/>
      <c r="K615" s="57"/>
      <c r="L615" s="57"/>
      <c r="M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60"/>
      <c r="J616" s="60"/>
      <c r="K616" s="57"/>
      <c r="L616" s="57"/>
      <c r="M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61"/>
      <c r="J617" s="61"/>
      <c r="K617" s="57"/>
      <c r="L617" s="57"/>
      <c r="M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60"/>
      <c r="J618" s="60"/>
      <c r="K618" s="57"/>
      <c r="L618" s="57"/>
      <c r="M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61"/>
      <c r="J619" s="61"/>
      <c r="K619" s="57"/>
      <c r="L619" s="57"/>
      <c r="M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60"/>
      <c r="J620" s="60"/>
      <c r="K620" s="57"/>
      <c r="L620" s="57"/>
      <c r="M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61"/>
      <c r="J621" s="61"/>
      <c r="K621" s="57"/>
      <c r="L621" s="57"/>
      <c r="M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60"/>
      <c r="J622" s="60"/>
      <c r="K622" s="57"/>
      <c r="L622" s="57"/>
      <c r="M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61"/>
      <c r="J623" s="61"/>
      <c r="K623" s="57"/>
      <c r="L623" s="57"/>
      <c r="M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60"/>
      <c r="J624" s="60"/>
      <c r="K624" s="57"/>
      <c r="L624" s="57"/>
      <c r="M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61"/>
      <c r="J625" s="61"/>
      <c r="K625" s="57"/>
      <c r="L625" s="57"/>
      <c r="M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60"/>
      <c r="J626" s="60"/>
      <c r="K626" s="57"/>
      <c r="L626" s="57"/>
      <c r="M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61"/>
      <c r="J627" s="61"/>
      <c r="K627" s="57"/>
      <c r="L627" s="57"/>
      <c r="M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60"/>
      <c r="J628" s="60"/>
      <c r="K628" s="57"/>
      <c r="L628" s="57"/>
      <c r="M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61"/>
      <c r="J629" s="61"/>
      <c r="K629" s="57"/>
      <c r="L629" s="57"/>
      <c r="M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60"/>
      <c r="J630" s="60"/>
      <c r="K630" s="57"/>
      <c r="L630" s="57"/>
      <c r="M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61"/>
      <c r="J631" s="61"/>
      <c r="K631" s="57"/>
      <c r="L631" s="57"/>
      <c r="M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60"/>
      <c r="J632" s="60"/>
      <c r="K632" s="57"/>
      <c r="L632" s="57"/>
      <c r="M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61"/>
      <c r="J633" s="61"/>
      <c r="K633" s="57"/>
      <c r="L633" s="57"/>
      <c r="M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60"/>
      <c r="J634" s="60"/>
      <c r="K634" s="57"/>
      <c r="L634" s="57"/>
      <c r="M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61"/>
      <c r="J635" s="61"/>
      <c r="K635" s="57"/>
      <c r="L635" s="57"/>
      <c r="M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60"/>
      <c r="J636" s="60"/>
      <c r="K636" s="57"/>
      <c r="L636" s="57"/>
      <c r="M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61"/>
      <c r="J637" s="61"/>
      <c r="K637" s="57"/>
      <c r="L637" s="57"/>
      <c r="M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60"/>
      <c r="J638" s="60"/>
      <c r="K638" s="57"/>
      <c r="L638" s="57"/>
      <c r="M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61"/>
      <c r="J639" s="61"/>
      <c r="K639" s="57"/>
      <c r="L639" s="57"/>
      <c r="M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60"/>
      <c r="J640" s="60"/>
      <c r="K640" s="57"/>
      <c r="L640" s="57"/>
      <c r="M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61"/>
      <c r="J641" s="61"/>
      <c r="K641" s="57"/>
      <c r="L641" s="57"/>
      <c r="M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60"/>
      <c r="J642" s="60"/>
      <c r="K642" s="57"/>
      <c r="L642" s="57"/>
      <c r="M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61"/>
      <c r="J643" s="61"/>
      <c r="K643" s="57"/>
      <c r="L643" s="57"/>
      <c r="M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60"/>
      <c r="J644" s="60"/>
      <c r="K644" s="57"/>
      <c r="L644" s="57"/>
      <c r="M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61"/>
      <c r="J645" s="61"/>
      <c r="K645" s="57"/>
      <c r="L645" s="57"/>
      <c r="M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60"/>
      <c r="J646" s="60"/>
      <c r="K646" s="57"/>
      <c r="L646" s="57"/>
      <c r="M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61"/>
      <c r="J647" s="61"/>
      <c r="K647" s="57"/>
      <c r="L647" s="57"/>
      <c r="M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60"/>
      <c r="J648" s="60"/>
      <c r="K648" s="57"/>
      <c r="L648" s="57"/>
      <c r="M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61"/>
      <c r="J649" s="61"/>
      <c r="K649" s="57"/>
      <c r="L649" s="57"/>
      <c r="M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60"/>
      <c r="J650" s="60"/>
      <c r="K650" s="57"/>
      <c r="L650" s="57"/>
      <c r="M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61"/>
      <c r="J651" s="61"/>
      <c r="K651" s="57"/>
      <c r="L651" s="57"/>
      <c r="M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60"/>
      <c r="J652" s="60"/>
      <c r="K652" s="57"/>
      <c r="L652" s="57"/>
      <c r="M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61"/>
      <c r="J653" s="61"/>
      <c r="K653" s="57"/>
      <c r="L653" s="57"/>
      <c r="M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60"/>
      <c r="J654" s="60"/>
      <c r="K654" s="57"/>
      <c r="L654" s="57"/>
      <c r="M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61"/>
      <c r="J655" s="61"/>
      <c r="K655" s="57"/>
      <c r="L655" s="57"/>
      <c r="M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60"/>
      <c r="J656" s="60"/>
      <c r="K656" s="57"/>
      <c r="L656" s="57"/>
      <c r="M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61"/>
      <c r="J657" s="61"/>
      <c r="K657" s="57"/>
      <c r="L657" s="57"/>
      <c r="M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60"/>
      <c r="J658" s="60"/>
      <c r="K658" s="57"/>
      <c r="L658" s="57"/>
      <c r="M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61"/>
      <c r="J659" s="61"/>
      <c r="K659" s="57"/>
      <c r="L659" s="57"/>
      <c r="M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60"/>
      <c r="J660" s="60"/>
      <c r="K660" s="57"/>
      <c r="L660" s="57"/>
      <c r="M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61"/>
      <c r="J661" s="61"/>
      <c r="K661" s="57"/>
      <c r="L661" s="57"/>
      <c r="M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60"/>
      <c r="J662" s="60"/>
      <c r="K662" s="57"/>
      <c r="L662" s="57"/>
      <c r="M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61"/>
      <c r="J663" s="61"/>
      <c r="K663" s="57"/>
      <c r="L663" s="57"/>
      <c r="M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60"/>
      <c r="J664" s="60"/>
      <c r="K664" s="57"/>
      <c r="L664" s="57"/>
      <c r="M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61"/>
      <c r="J665" s="61"/>
      <c r="K665" s="57"/>
      <c r="L665" s="57"/>
      <c r="M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60"/>
      <c r="J666" s="60"/>
      <c r="K666" s="57"/>
      <c r="L666" s="57"/>
      <c r="M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61"/>
      <c r="J667" s="61"/>
      <c r="K667" s="57"/>
      <c r="L667" s="57"/>
      <c r="M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60"/>
      <c r="J668" s="60"/>
      <c r="K668" s="57"/>
      <c r="L668" s="57"/>
      <c r="M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61"/>
      <c r="J669" s="61"/>
      <c r="K669" s="57"/>
      <c r="L669" s="57"/>
      <c r="M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60"/>
      <c r="J670" s="60"/>
      <c r="K670" s="57"/>
      <c r="L670" s="57"/>
      <c r="M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61"/>
      <c r="J671" s="61"/>
      <c r="K671" s="57"/>
      <c r="L671" s="57"/>
      <c r="M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60"/>
      <c r="J672" s="60"/>
      <c r="K672" s="57"/>
      <c r="L672" s="57"/>
      <c r="M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61"/>
      <c r="J673" s="61"/>
      <c r="K673" s="57"/>
      <c r="L673" s="57"/>
      <c r="M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60"/>
      <c r="J674" s="60"/>
      <c r="K674" s="57"/>
      <c r="L674" s="57"/>
      <c r="M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61"/>
      <c r="J675" s="61"/>
      <c r="K675" s="57"/>
      <c r="L675" s="57"/>
      <c r="M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60"/>
      <c r="J676" s="60"/>
      <c r="K676" s="57"/>
      <c r="L676" s="57"/>
      <c r="M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61"/>
      <c r="J677" s="61"/>
      <c r="K677" s="57"/>
      <c r="L677" s="57"/>
      <c r="M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60"/>
      <c r="J678" s="60"/>
      <c r="K678" s="57"/>
      <c r="L678" s="57"/>
      <c r="M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61"/>
      <c r="J679" s="61"/>
      <c r="K679" s="57"/>
      <c r="L679" s="57"/>
      <c r="M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60"/>
      <c r="J680" s="60"/>
      <c r="K680" s="57"/>
      <c r="L680" s="57"/>
      <c r="M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61"/>
      <c r="J681" s="61"/>
      <c r="K681" s="57"/>
      <c r="L681" s="57"/>
      <c r="M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60"/>
      <c r="J682" s="60"/>
      <c r="K682" s="57"/>
      <c r="L682" s="57"/>
      <c r="M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61"/>
      <c r="J683" s="61"/>
      <c r="K683" s="57"/>
      <c r="L683" s="57"/>
      <c r="M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60"/>
      <c r="J684" s="60"/>
      <c r="K684" s="57"/>
      <c r="L684" s="57"/>
      <c r="M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61"/>
      <c r="J685" s="61"/>
      <c r="K685" s="57"/>
      <c r="L685" s="57"/>
      <c r="M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60"/>
      <c r="J686" s="60"/>
      <c r="K686" s="57"/>
      <c r="L686" s="57"/>
      <c r="M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61"/>
      <c r="J687" s="61"/>
      <c r="K687" s="57"/>
      <c r="L687" s="57"/>
      <c r="M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60"/>
      <c r="J688" s="60"/>
      <c r="K688" s="57"/>
      <c r="L688" s="57"/>
      <c r="M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61"/>
      <c r="J689" s="61"/>
      <c r="K689" s="57"/>
      <c r="L689" s="57"/>
      <c r="M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60"/>
      <c r="J690" s="60"/>
      <c r="K690" s="57"/>
      <c r="L690" s="57"/>
      <c r="M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61"/>
      <c r="J691" s="61"/>
      <c r="K691" s="57"/>
      <c r="L691" s="57"/>
      <c r="M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60"/>
      <c r="J692" s="60"/>
      <c r="K692" s="57"/>
      <c r="L692" s="57"/>
      <c r="M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61"/>
      <c r="J693" s="61"/>
      <c r="K693" s="57"/>
      <c r="L693" s="57"/>
      <c r="M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60"/>
      <c r="J694" s="60"/>
      <c r="K694" s="57"/>
      <c r="L694" s="57"/>
      <c r="M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61"/>
      <c r="J695" s="61"/>
      <c r="K695" s="57"/>
      <c r="L695" s="57"/>
      <c r="M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60"/>
      <c r="J696" s="60"/>
      <c r="K696" s="57"/>
      <c r="L696" s="57"/>
      <c r="M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61"/>
      <c r="J697" s="61"/>
      <c r="K697" s="57"/>
      <c r="L697" s="57"/>
      <c r="M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60"/>
      <c r="J698" s="60"/>
      <c r="K698" s="57"/>
      <c r="L698" s="57"/>
      <c r="M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61"/>
      <c r="J699" s="61"/>
      <c r="K699" s="57"/>
      <c r="L699" s="57"/>
      <c r="M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60"/>
      <c r="J700" s="60"/>
      <c r="K700" s="57"/>
      <c r="L700" s="57"/>
      <c r="M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61"/>
      <c r="J701" s="61"/>
      <c r="K701" s="57"/>
      <c r="L701" s="57"/>
      <c r="M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60"/>
      <c r="J702" s="60"/>
      <c r="K702" s="57"/>
      <c r="L702" s="57"/>
      <c r="M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61"/>
      <c r="J703" s="61"/>
      <c r="K703" s="57"/>
      <c r="L703" s="57"/>
      <c r="M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60"/>
      <c r="J704" s="60"/>
      <c r="K704" s="57"/>
      <c r="L704" s="57"/>
      <c r="M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61"/>
      <c r="J705" s="61"/>
      <c r="K705" s="57"/>
      <c r="L705" s="57"/>
      <c r="M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60"/>
      <c r="J706" s="60"/>
      <c r="K706" s="57"/>
      <c r="L706" s="57"/>
      <c r="M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61"/>
      <c r="J707" s="61"/>
      <c r="K707" s="57"/>
      <c r="L707" s="57"/>
      <c r="M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60"/>
      <c r="J708" s="60"/>
      <c r="K708" s="57"/>
      <c r="L708" s="57"/>
      <c r="M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61"/>
      <c r="J709" s="61"/>
      <c r="K709" s="57"/>
      <c r="L709" s="57"/>
      <c r="M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60"/>
      <c r="J710" s="60"/>
      <c r="K710" s="57"/>
      <c r="L710" s="57"/>
      <c r="M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61"/>
      <c r="J711" s="61"/>
      <c r="K711" s="57"/>
      <c r="L711" s="57"/>
      <c r="M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60"/>
      <c r="J712" s="60"/>
      <c r="K712" s="57"/>
      <c r="L712" s="57"/>
      <c r="M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61"/>
      <c r="J713" s="61"/>
      <c r="K713" s="57"/>
      <c r="L713" s="57"/>
      <c r="M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60"/>
      <c r="J714" s="60"/>
      <c r="K714" s="57"/>
      <c r="L714" s="57"/>
      <c r="M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61"/>
      <c r="J715" s="61"/>
      <c r="K715" s="57"/>
      <c r="L715" s="57"/>
      <c r="M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60"/>
      <c r="J716" s="60"/>
      <c r="K716" s="57"/>
      <c r="L716" s="57"/>
      <c r="M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61"/>
      <c r="J717" s="61"/>
      <c r="K717" s="57"/>
      <c r="L717" s="57"/>
      <c r="M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60"/>
      <c r="J718" s="60"/>
      <c r="K718" s="57"/>
      <c r="L718" s="57"/>
      <c r="M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61"/>
      <c r="J719" s="61"/>
      <c r="K719" s="57"/>
      <c r="L719" s="57"/>
      <c r="M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60"/>
      <c r="J720" s="60"/>
      <c r="K720" s="57"/>
      <c r="L720" s="57"/>
      <c r="M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61"/>
      <c r="J721" s="61"/>
      <c r="K721" s="57"/>
      <c r="L721" s="57"/>
      <c r="M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60"/>
      <c r="J722" s="60"/>
      <c r="K722" s="57"/>
      <c r="L722" s="57"/>
      <c r="M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61"/>
      <c r="J723" s="61"/>
      <c r="K723" s="57"/>
      <c r="L723" s="57"/>
      <c r="M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60"/>
      <c r="J724" s="60"/>
      <c r="K724" s="57"/>
      <c r="L724" s="57"/>
      <c r="M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61"/>
      <c r="J725" s="61"/>
      <c r="K725" s="57"/>
      <c r="L725" s="57"/>
      <c r="M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60"/>
      <c r="J726" s="60"/>
      <c r="K726" s="57"/>
      <c r="L726" s="57"/>
      <c r="M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61"/>
      <c r="J727" s="61"/>
      <c r="K727" s="57"/>
      <c r="L727" s="57"/>
      <c r="M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60"/>
      <c r="J728" s="60"/>
      <c r="K728" s="57"/>
      <c r="L728" s="57"/>
      <c r="M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61"/>
      <c r="J729" s="61"/>
      <c r="K729" s="57"/>
      <c r="L729" s="57"/>
      <c r="M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60"/>
      <c r="J730" s="60"/>
      <c r="K730" s="57"/>
      <c r="L730" s="57"/>
      <c r="M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61"/>
      <c r="J731" s="61"/>
      <c r="K731" s="57"/>
      <c r="L731" s="57"/>
      <c r="M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60"/>
      <c r="J732" s="60"/>
      <c r="K732" s="57"/>
      <c r="L732" s="57"/>
      <c r="M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61"/>
      <c r="J733" s="61"/>
      <c r="K733" s="57"/>
      <c r="L733" s="57"/>
      <c r="M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60"/>
      <c r="J734" s="60"/>
      <c r="K734" s="57"/>
      <c r="L734" s="57"/>
      <c r="M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61"/>
      <c r="J735" s="61"/>
      <c r="K735" s="57"/>
      <c r="L735" s="57"/>
      <c r="M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60"/>
      <c r="J736" s="60"/>
      <c r="K736" s="57"/>
      <c r="L736" s="57"/>
      <c r="M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61"/>
      <c r="J737" s="61"/>
      <c r="K737" s="57"/>
      <c r="L737" s="57"/>
      <c r="M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60"/>
      <c r="J738" s="60"/>
      <c r="K738" s="57"/>
      <c r="L738" s="57"/>
      <c r="M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61"/>
      <c r="J739" s="61"/>
      <c r="K739" s="57"/>
      <c r="L739" s="57"/>
      <c r="M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60"/>
      <c r="J740" s="60"/>
      <c r="K740" s="57"/>
      <c r="L740" s="57"/>
      <c r="M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61"/>
      <c r="J741" s="61"/>
      <c r="K741" s="57"/>
      <c r="L741" s="57"/>
      <c r="M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60"/>
      <c r="J742" s="60"/>
      <c r="K742" s="57"/>
      <c r="L742" s="57"/>
      <c r="M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61"/>
      <c r="J743" s="61"/>
      <c r="K743" s="57"/>
      <c r="L743" s="57"/>
      <c r="M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60"/>
      <c r="J744" s="60"/>
      <c r="K744" s="57"/>
      <c r="L744" s="57"/>
      <c r="M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61"/>
      <c r="J745" s="61"/>
      <c r="K745" s="57"/>
      <c r="L745" s="57"/>
      <c r="M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60"/>
      <c r="J746" s="60"/>
      <c r="K746" s="57"/>
      <c r="L746" s="57"/>
      <c r="M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61"/>
      <c r="J747" s="61"/>
      <c r="K747" s="57"/>
      <c r="L747" s="57"/>
      <c r="M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60"/>
      <c r="J748" s="60"/>
      <c r="K748" s="57"/>
      <c r="L748" s="57"/>
      <c r="M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61"/>
      <c r="J749" s="61"/>
      <c r="K749" s="57"/>
      <c r="L749" s="57"/>
      <c r="M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60"/>
      <c r="J750" s="60"/>
      <c r="K750" s="57"/>
      <c r="L750" s="57"/>
      <c r="M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61"/>
      <c r="J751" s="61"/>
      <c r="K751" s="57"/>
      <c r="L751" s="57"/>
      <c r="M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60"/>
      <c r="J752" s="60"/>
      <c r="K752" s="57"/>
      <c r="L752" s="57"/>
      <c r="M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61"/>
      <c r="J753" s="61"/>
      <c r="K753" s="57"/>
      <c r="L753" s="57"/>
      <c r="M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60"/>
      <c r="J754" s="60"/>
      <c r="K754" s="57"/>
      <c r="L754" s="57"/>
      <c r="M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61"/>
      <c r="J755" s="61"/>
      <c r="K755" s="57"/>
      <c r="L755" s="57"/>
      <c r="M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60"/>
      <c r="J756" s="60"/>
      <c r="K756" s="57"/>
      <c r="L756" s="57"/>
      <c r="M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61"/>
      <c r="J757" s="61"/>
      <c r="K757" s="57"/>
      <c r="L757" s="57"/>
      <c r="M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60"/>
      <c r="J758" s="60"/>
      <c r="K758" s="57"/>
      <c r="L758" s="57"/>
      <c r="M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61"/>
      <c r="J759" s="61"/>
      <c r="K759" s="57"/>
      <c r="L759" s="57"/>
      <c r="M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60"/>
      <c r="J760" s="60"/>
      <c r="K760" s="57"/>
      <c r="L760" s="57"/>
      <c r="M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61"/>
      <c r="J761" s="61"/>
      <c r="K761" s="57"/>
      <c r="L761" s="57"/>
      <c r="M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60"/>
      <c r="J762" s="60"/>
      <c r="K762" s="57"/>
      <c r="L762" s="57"/>
      <c r="M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61"/>
      <c r="J763" s="61"/>
      <c r="K763" s="57"/>
      <c r="L763" s="57"/>
      <c r="M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60"/>
      <c r="J764" s="60"/>
      <c r="K764" s="57"/>
      <c r="L764" s="57"/>
      <c r="M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61"/>
      <c r="J765" s="61"/>
      <c r="K765" s="57"/>
      <c r="L765" s="57"/>
      <c r="M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60"/>
      <c r="J766" s="60"/>
      <c r="K766" s="57"/>
      <c r="L766" s="57"/>
      <c r="M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61"/>
      <c r="J767" s="61"/>
      <c r="K767" s="57"/>
      <c r="L767" s="57"/>
      <c r="M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60"/>
      <c r="J768" s="60"/>
      <c r="K768" s="57"/>
      <c r="L768" s="57"/>
      <c r="M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61"/>
      <c r="J769" s="61"/>
      <c r="K769" s="57"/>
      <c r="L769" s="57"/>
      <c r="M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60"/>
      <c r="J770" s="60"/>
      <c r="K770" s="57"/>
      <c r="L770" s="57"/>
      <c r="M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61"/>
      <c r="J771" s="61"/>
      <c r="K771" s="57"/>
      <c r="L771" s="57"/>
      <c r="M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60"/>
      <c r="J772" s="60"/>
      <c r="K772" s="57"/>
      <c r="L772" s="57"/>
      <c r="M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61"/>
      <c r="J773" s="61"/>
      <c r="K773" s="57"/>
      <c r="L773" s="57"/>
      <c r="M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60"/>
      <c r="J774" s="60"/>
      <c r="K774" s="57"/>
      <c r="L774" s="57"/>
      <c r="M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61"/>
      <c r="J775" s="61"/>
      <c r="K775" s="57"/>
      <c r="L775" s="57"/>
      <c r="M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60"/>
      <c r="J776" s="60"/>
      <c r="K776" s="57"/>
      <c r="L776" s="57"/>
      <c r="M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61"/>
      <c r="J777" s="61"/>
      <c r="K777" s="57"/>
      <c r="L777" s="57"/>
      <c r="M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60"/>
      <c r="J778" s="60"/>
      <c r="K778" s="57"/>
      <c r="L778" s="57"/>
      <c r="M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61"/>
      <c r="J779" s="61"/>
      <c r="K779" s="57"/>
      <c r="L779" s="57"/>
      <c r="M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60"/>
      <c r="J780" s="60"/>
      <c r="K780" s="57"/>
      <c r="L780" s="57"/>
      <c r="M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61"/>
      <c r="J781" s="61"/>
      <c r="K781" s="57"/>
      <c r="L781" s="57"/>
      <c r="M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60"/>
      <c r="J782" s="60"/>
      <c r="K782" s="57"/>
      <c r="L782" s="57"/>
      <c r="M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61"/>
      <c r="J783" s="61"/>
      <c r="K783" s="57"/>
      <c r="L783" s="57"/>
      <c r="M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60"/>
      <c r="J784" s="60"/>
      <c r="K784" s="57"/>
      <c r="L784" s="57"/>
      <c r="M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61"/>
      <c r="J785" s="61"/>
      <c r="K785" s="57"/>
      <c r="L785" s="57"/>
      <c r="M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60"/>
      <c r="J786" s="60"/>
      <c r="K786" s="57"/>
      <c r="L786" s="57"/>
      <c r="M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61"/>
      <c r="J787" s="61"/>
      <c r="K787" s="57"/>
      <c r="L787" s="57"/>
      <c r="M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60"/>
      <c r="J788" s="60"/>
      <c r="K788" s="57"/>
      <c r="L788" s="57"/>
      <c r="M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61"/>
      <c r="J789" s="61"/>
      <c r="K789" s="57"/>
      <c r="L789" s="57"/>
      <c r="M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60"/>
      <c r="J790" s="60"/>
      <c r="K790" s="57"/>
      <c r="L790" s="57"/>
      <c r="M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61"/>
      <c r="J791" s="61"/>
      <c r="K791" s="57"/>
      <c r="L791" s="57"/>
      <c r="M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60"/>
      <c r="J792" s="60"/>
      <c r="K792" s="57"/>
      <c r="L792" s="57"/>
      <c r="M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61"/>
      <c r="J793" s="61"/>
      <c r="K793" s="57"/>
      <c r="L793" s="57"/>
      <c r="M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60"/>
      <c r="J794" s="60"/>
      <c r="K794" s="57"/>
      <c r="L794" s="57"/>
      <c r="M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61"/>
      <c r="J795" s="61"/>
      <c r="K795" s="57"/>
      <c r="L795" s="57"/>
      <c r="M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60"/>
      <c r="J796" s="60"/>
      <c r="K796" s="57"/>
      <c r="L796" s="57"/>
      <c r="M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61"/>
      <c r="J797" s="61"/>
      <c r="K797" s="57"/>
      <c r="L797" s="57"/>
      <c r="M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60"/>
      <c r="J798" s="60"/>
      <c r="K798" s="57"/>
      <c r="L798" s="57"/>
      <c r="M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61"/>
      <c r="J799" s="61"/>
      <c r="K799" s="57"/>
      <c r="L799" s="57"/>
      <c r="M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60"/>
      <c r="J800" s="60"/>
      <c r="K800" s="57"/>
      <c r="L800" s="57"/>
      <c r="M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61"/>
      <c r="J801" s="61"/>
      <c r="K801" s="57"/>
      <c r="L801" s="57"/>
      <c r="M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60"/>
      <c r="J802" s="60"/>
      <c r="K802" s="57"/>
      <c r="L802" s="57"/>
      <c r="M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61"/>
      <c r="J803" s="61"/>
      <c r="K803" s="57"/>
      <c r="L803" s="57"/>
      <c r="M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60"/>
      <c r="J804" s="60"/>
      <c r="K804" s="57"/>
      <c r="L804" s="57"/>
      <c r="M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61"/>
      <c r="J805" s="61"/>
      <c r="K805" s="57"/>
      <c r="L805" s="57"/>
      <c r="M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60"/>
      <c r="J806" s="60"/>
      <c r="K806" s="57"/>
      <c r="L806" s="57"/>
      <c r="M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61"/>
      <c r="J807" s="61"/>
      <c r="K807" s="57"/>
      <c r="L807" s="57"/>
      <c r="M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60"/>
      <c r="J808" s="60"/>
      <c r="K808" s="57"/>
      <c r="L808" s="57"/>
      <c r="M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61"/>
      <c r="J809" s="61"/>
      <c r="K809" s="57"/>
      <c r="L809" s="57"/>
      <c r="M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60"/>
      <c r="J810" s="60"/>
      <c r="K810" s="57"/>
      <c r="L810" s="57"/>
      <c r="M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61"/>
      <c r="J811" s="61"/>
      <c r="K811" s="57"/>
      <c r="L811" s="57"/>
      <c r="M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60"/>
      <c r="J812" s="60"/>
      <c r="K812" s="57"/>
      <c r="L812" s="57"/>
      <c r="M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61"/>
      <c r="J813" s="61"/>
      <c r="K813" s="57"/>
      <c r="L813" s="57"/>
      <c r="M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60"/>
      <c r="J814" s="60"/>
      <c r="K814" s="57"/>
      <c r="L814" s="57"/>
      <c r="M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61"/>
      <c r="J815" s="61"/>
      <c r="K815" s="57"/>
      <c r="L815" s="57"/>
      <c r="M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60"/>
      <c r="J816" s="60"/>
      <c r="K816" s="57"/>
      <c r="L816" s="57"/>
      <c r="M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61"/>
      <c r="J817" s="61"/>
      <c r="K817" s="57"/>
      <c r="L817" s="57"/>
      <c r="M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60"/>
      <c r="J818" s="60"/>
      <c r="K818" s="57"/>
      <c r="L818" s="57"/>
      <c r="M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61"/>
      <c r="J819" s="61"/>
      <c r="K819" s="57"/>
      <c r="L819" s="57"/>
      <c r="M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60"/>
      <c r="J820" s="60"/>
      <c r="K820" s="57"/>
      <c r="L820" s="57"/>
      <c r="M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61"/>
      <c r="J821" s="61"/>
      <c r="K821" s="57"/>
      <c r="L821" s="57"/>
      <c r="M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60"/>
      <c r="J822" s="60"/>
      <c r="K822" s="57"/>
      <c r="L822" s="57"/>
      <c r="M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61"/>
      <c r="J823" s="61"/>
      <c r="K823" s="57"/>
      <c r="L823" s="57"/>
      <c r="M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60"/>
      <c r="J824" s="60"/>
      <c r="K824" s="57"/>
      <c r="L824" s="57"/>
      <c r="M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61"/>
      <c r="J825" s="61"/>
      <c r="K825" s="57"/>
      <c r="L825" s="57"/>
      <c r="M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60"/>
      <c r="J826" s="60"/>
      <c r="K826" s="57"/>
      <c r="L826" s="57"/>
      <c r="M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61"/>
      <c r="J827" s="61"/>
      <c r="K827" s="57"/>
      <c r="L827" s="57"/>
      <c r="M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60"/>
      <c r="J828" s="60"/>
      <c r="K828" s="57"/>
      <c r="L828" s="57"/>
      <c r="M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61"/>
      <c r="J829" s="61"/>
      <c r="K829" s="57"/>
      <c r="L829" s="57"/>
      <c r="M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60"/>
      <c r="J830" s="60"/>
      <c r="K830" s="57"/>
      <c r="L830" s="57"/>
      <c r="M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61"/>
      <c r="J831" s="61"/>
      <c r="K831" s="57"/>
      <c r="L831" s="57"/>
      <c r="M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60"/>
      <c r="J832" s="60"/>
      <c r="K832" s="57"/>
      <c r="L832" s="57"/>
      <c r="M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61"/>
      <c r="J833" s="61"/>
      <c r="K833" s="57"/>
      <c r="L833" s="57"/>
      <c r="M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60"/>
      <c r="J834" s="60"/>
      <c r="K834" s="57"/>
      <c r="L834" s="57"/>
      <c r="M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61"/>
      <c r="J835" s="61"/>
      <c r="K835" s="57"/>
      <c r="L835" s="57"/>
      <c r="M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60"/>
      <c r="J836" s="60"/>
      <c r="K836" s="57"/>
      <c r="L836" s="57"/>
      <c r="M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61"/>
      <c r="J837" s="61"/>
      <c r="K837" s="57"/>
      <c r="L837" s="57"/>
      <c r="M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60"/>
      <c r="J838" s="60"/>
      <c r="K838" s="57"/>
      <c r="L838" s="57"/>
      <c r="M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61"/>
      <c r="J839" s="61"/>
      <c r="K839" s="57"/>
      <c r="L839" s="57"/>
      <c r="M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60"/>
      <c r="J840" s="60"/>
      <c r="K840" s="57"/>
      <c r="L840" s="57"/>
      <c r="M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61"/>
      <c r="J841" s="61"/>
      <c r="K841" s="57"/>
      <c r="L841" s="57"/>
      <c r="M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60"/>
      <c r="J842" s="60"/>
      <c r="K842" s="57"/>
      <c r="L842" s="57"/>
      <c r="M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61"/>
      <c r="J843" s="61"/>
      <c r="K843" s="57"/>
      <c r="L843" s="57"/>
      <c r="M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60"/>
      <c r="J844" s="60"/>
      <c r="K844" s="57"/>
      <c r="L844" s="57"/>
      <c r="M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61"/>
      <c r="J845" s="61"/>
      <c r="K845" s="57"/>
      <c r="L845" s="57"/>
      <c r="M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60"/>
      <c r="J846" s="60"/>
      <c r="K846" s="57"/>
      <c r="L846" s="57"/>
      <c r="M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61"/>
      <c r="J847" s="61"/>
      <c r="K847" s="57"/>
      <c r="L847" s="57"/>
      <c r="M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60"/>
      <c r="J848" s="60"/>
      <c r="K848" s="57"/>
      <c r="L848" s="57"/>
      <c r="M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61"/>
      <c r="J849" s="61"/>
      <c r="K849" s="57"/>
      <c r="L849" s="57"/>
      <c r="M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60"/>
      <c r="J850" s="60"/>
      <c r="K850" s="57"/>
      <c r="L850" s="57"/>
      <c r="M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61"/>
      <c r="J851" s="61"/>
      <c r="K851" s="57"/>
      <c r="L851" s="57"/>
      <c r="M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60"/>
      <c r="J852" s="60"/>
      <c r="K852" s="57"/>
      <c r="L852" s="57"/>
      <c r="M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61"/>
      <c r="J853" s="61"/>
      <c r="K853" s="57"/>
      <c r="L853" s="57"/>
      <c r="M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60"/>
      <c r="J854" s="60"/>
      <c r="K854" s="57"/>
      <c r="L854" s="57"/>
      <c r="M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61"/>
      <c r="J855" s="61"/>
      <c r="K855" s="57"/>
      <c r="L855" s="57"/>
      <c r="M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60"/>
      <c r="J856" s="60"/>
      <c r="K856" s="57"/>
      <c r="L856" s="57"/>
      <c r="M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61"/>
      <c r="J857" s="61"/>
      <c r="K857" s="57"/>
      <c r="L857" s="57"/>
      <c r="M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60"/>
      <c r="J858" s="60"/>
      <c r="K858" s="57"/>
      <c r="L858" s="57"/>
      <c r="M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61"/>
      <c r="J859" s="61"/>
      <c r="K859" s="57"/>
      <c r="L859" s="57"/>
      <c r="M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60"/>
      <c r="J860" s="60"/>
      <c r="K860" s="57"/>
      <c r="L860" s="57"/>
      <c r="M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61"/>
      <c r="J861" s="61"/>
      <c r="K861" s="57"/>
      <c r="L861" s="57"/>
      <c r="M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60"/>
      <c r="J862" s="60"/>
      <c r="K862" s="57"/>
      <c r="L862" s="57"/>
      <c r="M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61"/>
      <c r="J863" s="61"/>
      <c r="K863" s="57"/>
      <c r="L863" s="57"/>
      <c r="M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60"/>
      <c r="J864" s="60"/>
      <c r="K864" s="57"/>
      <c r="L864" s="57"/>
      <c r="M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61"/>
      <c r="J865" s="61"/>
      <c r="K865" s="57"/>
      <c r="L865" s="57"/>
      <c r="M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60"/>
      <c r="J866" s="60"/>
      <c r="K866" s="57"/>
      <c r="L866" s="57"/>
      <c r="M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61"/>
      <c r="J867" s="61"/>
      <c r="K867" s="57"/>
      <c r="L867" s="57"/>
      <c r="M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60"/>
      <c r="J868" s="60"/>
      <c r="K868" s="57"/>
      <c r="L868" s="57"/>
      <c r="M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61"/>
      <c r="J869" s="61"/>
      <c r="K869" s="57"/>
      <c r="L869" s="57"/>
      <c r="M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60"/>
      <c r="J870" s="60"/>
      <c r="K870" s="57"/>
      <c r="L870" s="57"/>
      <c r="M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61"/>
      <c r="J871" s="61"/>
      <c r="K871" s="57"/>
      <c r="L871" s="57"/>
      <c r="M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60"/>
      <c r="J872" s="60"/>
      <c r="K872" s="57"/>
      <c r="L872" s="57"/>
      <c r="M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61"/>
      <c r="J873" s="61"/>
      <c r="K873" s="57"/>
      <c r="L873" s="57"/>
      <c r="M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60"/>
      <c r="J874" s="60"/>
      <c r="K874" s="57"/>
      <c r="L874" s="57"/>
      <c r="M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61"/>
      <c r="J875" s="61"/>
      <c r="K875" s="57"/>
      <c r="L875" s="57"/>
      <c r="M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60"/>
      <c r="J876" s="60"/>
      <c r="K876" s="57"/>
      <c r="L876" s="57"/>
      <c r="M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61"/>
      <c r="J877" s="61"/>
      <c r="K877" s="57"/>
      <c r="L877" s="57"/>
      <c r="M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60"/>
      <c r="J878" s="60"/>
      <c r="K878" s="57"/>
      <c r="L878" s="57"/>
      <c r="M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61"/>
      <c r="J879" s="61"/>
      <c r="K879" s="57"/>
      <c r="L879" s="57"/>
      <c r="M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60"/>
      <c r="J880" s="60"/>
      <c r="K880" s="57"/>
      <c r="L880" s="57"/>
      <c r="M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61"/>
      <c r="J881" s="61"/>
      <c r="K881" s="57"/>
      <c r="L881" s="57"/>
      <c r="M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60"/>
      <c r="J882" s="60"/>
      <c r="K882" s="57"/>
      <c r="L882" s="57"/>
      <c r="M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61"/>
      <c r="J883" s="61"/>
      <c r="K883" s="57"/>
      <c r="L883" s="57"/>
      <c r="M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60"/>
      <c r="J884" s="60"/>
      <c r="K884" s="57"/>
      <c r="L884" s="57"/>
      <c r="M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61"/>
      <c r="J885" s="61"/>
      <c r="K885" s="57"/>
      <c r="L885" s="57"/>
      <c r="M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60"/>
      <c r="J886" s="60"/>
      <c r="K886" s="57"/>
      <c r="L886" s="57"/>
      <c r="M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61"/>
      <c r="J887" s="61"/>
      <c r="K887" s="57"/>
      <c r="L887" s="57"/>
      <c r="M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60"/>
      <c r="J888" s="60"/>
      <c r="K888" s="57"/>
      <c r="L888" s="57"/>
      <c r="M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61"/>
      <c r="J889" s="61"/>
      <c r="K889" s="57"/>
      <c r="L889" s="57"/>
      <c r="M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60"/>
      <c r="J890" s="60"/>
      <c r="K890" s="57"/>
      <c r="L890" s="57"/>
      <c r="M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61"/>
      <c r="J891" s="61"/>
      <c r="K891" s="57"/>
      <c r="L891" s="57"/>
      <c r="M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60"/>
      <c r="J892" s="60"/>
      <c r="K892" s="57"/>
      <c r="L892" s="57"/>
      <c r="M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61"/>
      <c r="J893" s="61"/>
      <c r="K893" s="57"/>
      <c r="L893" s="57"/>
      <c r="M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60"/>
      <c r="J894" s="60"/>
      <c r="K894" s="57"/>
      <c r="L894" s="57"/>
      <c r="M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61"/>
      <c r="J895" s="61"/>
      <c r="K895" s="57"/>
      <c r="L895" s="57"/>
      <c r="M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60"/>
      <c r="J896" s="60"/>
      <c r="K896" s="57"/>
      <c r="L896" s="57"/>
      <c r="M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61"/>
      <c r="J897" s="61"/>
      <c r="K897" s="57"/>
      <c r="L897" s="57"/>
      <c r="M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60"/>
      <c r="J898" s="60"/>
      <c r="K898" s="57"/>
      <c r="L898" s="57"/>
      <c r="M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61"/>
      <c r="J899" s="61"/>
      <c r="K899" s="57"/>
      <c r="L899" s="57"/>
      <c r="M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60"/>
      <c r="J900" s="60"/>
      <c r="K900" s="57"/>
      <c r="L900" s="57"/>
      <c r="M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61"/>
      <c r="J901" s="61"/>
      <c r="K901" s="57"/>
      <c r="L901" s="57"/>
      <c r="M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60"/>
      <c r="J902" s="60"/>
      <c r="K902" s="57"/>
      <c r="L902" s="57"/>
      <c r="M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61"/>
      <c r="J903" s="61"/>
      <c r="K903" s="57"/>
      <c r="L903" s="57"/>
      <c r="M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60"/>
      <c r="J904" s="60"/>
      <c r="K904" s="57"/>
      <c r="L904" s="57"/>
      <c r="M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61"/>
      <c r="J905" s="61"/>
      <c r="K905" s="57"/>
      <c r="L905" s="57"/>
      <c r="M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60"/>
      <c r="J906" s="60"/>
      <c r="K906" s="57"/>
      <c r="L906" s="57"/>
      <c r="M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61"/>
      <c r="J907" s="61"/>
      <c r="K907" s="57"/>
      <c r="L907" s="57"/>
      <c r="M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60"/>
      <c r="J908" s="60"/>
      <c r="K908" s="57"/>
      <c r="L908" s="57"/>
      <c r="M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61"/>
      <c r="J909" s="61"/>
      <c r="K909" s="57"/>
      <c r="L909" s="57"/>
      <c r="M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60"/>
      <c r="J910" s="60"/>
      <c r="K910" s="57"/>
      <c r="L910" s="57"/>
      <c r="M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61"/>
      <c r="J911" s="61"/>
      <c r="K911" s="57"/>
      <c r="L911" s="57"/>
      <c r="M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60"/>
      <c r="J912" s="60"/>
      <c r="K912" s="57"/>
      <c r="L912" s="57"/>
      <c r="M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61"/>
      <c r="J913" s="61"/>
      <c r="K913" s="57"/>
      <c r="L913" s="57"/>
      <c r="M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60"/>
      <c r="J914" s="60"/>
      <c r="K914" s="57"/>
      <c r="L914" s="57"/>
      <c r="M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61"/>
      <c r="J915" s="61"/>
      <c r="K915" s="57"/>
      <c r="L915" s="57"/>
      <c r="M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60"/>
      <c r="J916" s="60"/>
      <c r="K916" s="57"/>
      <c r="L916" s="57"/>
      <c r="M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61"/>
      <c r="J917" s="61"/>
      <c r="K917" s="57"/>
      <c r="L917" s="57"/>
      <c r="M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60"/>
      <c r="J918" s="60"/>
      <c r="K918" s="57"/>
      <c r="L918" s="57"/>
      <c r="M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61"/>
      <c r="J919" s="61"/>
      <c r="K919" s="57"/>
      <c r="L919" s="57"/>
      <c r="M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60"/>
      <c r="J920" s="60"/>
      <c r="K920" s="57"/>
      <c r="L920" s="57"/>
      <c r="M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61"/>
      <c r="J921" s="61"/>
      <c r="K921" s="57"/>
      <c r="L921" s="57"/>
      <c r="M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60"/>
      <c r="J922" s="60"/>
      <c r="K922" s="57"/>
      <c r="L922" s="57"/>
      <c r="M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61"/>
      <c r="J923" s="61"/>
      <c r="K923" s="57"/>
      <c r="L923" s="57"/>
      <c r="M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60"/>
      <c r="J924" s="60"/>
      <c r="K924" s="57"/>
      <c r="L924" s="57"/>
      <c r="M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61"/>
      <c r="J925" s="61"/>
      <c r="K925" s="57"/>
      <c r="L925" s="57"/>
      <c r="M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60"/>
      <c r="J926" s="60"/>
      <c r="K926" s="57"/>
      <c r="L926" s="57"/>
      <c r="M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61"/>
      <c r="J927" s="61"/>
      <c r="K927" s="57"/>
      <c r="L927" s="57"/>
      <c r="M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60"/>
      <c r="J928" s="60"/>
      <c r="K928" s="57"/>
      <c r="L928" s="57"/>
      <c r="M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61"/>
      <c r="J929" s="61"/>
      <c r="K929" s="57"/>
      <c r="L929" s="57"/>
      <c r="M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60"/>
      <c r="J930" s="60"/>
      <c r="K930" s="57"/>
      <c r="L930" s="57"/>
      <c r="M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61"/>
      <c r="J931" s="61"/>
      <c r="K931" s="57"/>
      <c r="L931" s="57"/>
      <c r="M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60"/>
      <c r="J932" s="60"/>
      <c r="K932" s="57"/>
      <c r="L932" s="57"/>
      <c r="M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61"/>
      <c r="J933" s="61"/>
      <c r="K933" s="57"/>
      <c r="L933" s="57"/>
      <c r="M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60"/>
      <c r="J934" s="60"/>
      <c r="K934" s="57"/>
      <c r="L934" s="57"/>
      <c r="M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61"/>
      <c r="J935" s="61"/>
      <c r="K935" s="57"/>
      <c r="L935" s="57"/>
      <c r="M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60"/>
      <c r="J936" s="60"/>
      <c r="K936" s="57"/>
      <c r="L936" s="57"/>
      <c r="M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61"/>
      <c r="J937" s="61"/>
      <c r="K937" s="57"/>
      <c r="L937" s="57"/>
      <c r="M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60"/>
      <c r="J938" s="60"/>
      <c r="K938" s="57"/>
      <c r="L938" s="57"/>
      <c r="M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61"/>
      <c r="J939" s="61"/>
      <c r="K939" s="57"/>
      <c r="L939" s="57"/>
      <c r="M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60"/>
      <c r="J940" s="60"/>
      <c r="K940" s="57"/>
      <c r="L940" s="57"/>
      <c r="M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61"/>
      <c r="J941" s="61"/>
      <c r="K941" s="57"/>
      <c r="L941" s="57"/>
      <c r="M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60"/>
      <c r="J942" s="60"/>
      <c r="K942" s="57"/>
      <c r="L942" s="57"/>
      <c r="M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61"/>
      <c r="J943" s="61"/>
      <c r="K943" s="57"/>
      <c r="L943" s="57"/>
      <c r="M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60"/>
      <c r="J944" s="60"/>
      <c r="K944" s="57"/>
      <c r="L944" s="57"/>
      <c r="M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61"/>
      <c r="J945" s="61"/>
      <c r="K945" s="57"/>
      <c r="L945" s="57"/>
      <c r="M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60"/>
      <c r="J946" s="60"/>
      <c r="K946" s="57"/>
      <c r="L946" s="57"/>
      <c r="M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61"/>
      <c r="J947" s="61"/>
      <c r="K947" s="57"/>
      <c r="L947" s="57"/>
      <c r="M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60"/>
      <c r="J948" s="60"/>
      <c r="K948" s="57"/>
      <c r="L948" s="57"/>
      <c r="M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61"/>
      <c r="J949" s="61"/>
      <c r="K949" s="57"/>
      <c r="L949" s="57"/>
      <c r="M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60"/>
      <c r="J950" s="60"/>
      <c r="K950" s="57"/>
      <c r="L950" s="57"/>
      <c r="M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61"/>
      <c r="J951" s="61"/>
      <c r="K951" s="57"/>
      <c r="L951" s="57"/>
      <c r="M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60"/>
      <c r="J952" s="60"/>
      <c r="K952" s="57"/>
      <c r="L952" s="57"/>
      <c r="M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61"/>
      <c r="J953" s="61"/>
      <c r="K953" s="57"/>
      <c r="L953" s="57"/>
      <c r="M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60"/>
      <c r="J954" s="60"/>
      <c r="K954" s="57"/>
      <c r="L954" s="57"/>
      <c r="M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61"/>
      <c r="J955" s="61"/>
      <c r="K955" s="57"/>
      <c r="L955" s="57"/>
      <c r="M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60"/>
      <c r="J956" s="60"/>
      <c r="K956" s="57"/>
      <c r="L956" s="57"/>
      <c r="M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61"/>
      <c r="J957" s="61"/>
      <c r="K957" s="57"/>
      <c r="L957" s="57"/>
      <c r="M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60"/>
      <c r="J958" s="60"/>
      <c r="K958" s="57"/>
      <c r="L958" s="57"/>
      <c r="M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61"/>
      <c r="J959" s="61"/>
      <c r="K959" s="57"/>
      <c r="L959" s="57"/>
      <c r="M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60"/>
      <c r="J960" s="60"/>
      <c r="K960" s="57"/>
      <c r="L960" s="57"/>
      <c r="M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61"/>
      <c r="J961" s="61"/>
      <c r="K961" s="57"/>
      <c r="L961" s="57"/>
      <c r="M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60"/>
      <c r="J962" s="60"/>
      <c r="K962" s="57"/>
      <c r="L962" s="57"/>
      <c r="M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61"/>
      <c r="J963" s="61"/>
      <c r="K963" s="57"/>
      <c r="L963" s="57"/>
      <c r="M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60"/>
      <c r="J964" s="60"/>
      <c r="K964" s="57"/>
      <c r="L964" s="57"/>
      <c r="M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61"/>
      <c r="J965" s="61"/>
      <c r="K965" s="57"/>
      <c r="L965" s="57"/>
      <c r="M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60"/>
      <c r="J966" s="60"/>
      <c r="K966" s="57"/>
      <c r="L966" s="57"/>
      <c r="M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61"/>
      <c r="J967" s="61"/>
      <c r="K967" s="57"/>
      <c r="L967" s="57"/>
      <c r="M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60"/>
      <c r="J968" s="60"/>
      <c r="K968" s="57"/>
      <c r="L968" s="57"/>
      <c r="M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61"/>
      <c r="J969" s="61"/>
      <c r="K969" s="57"/>
      <c r="L969" s="57"/>
      <c r="M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60"/>
      <c r="J970" s="60"/>
      <c r="K970" s="57"/>
      <c r="L970" s="57"/>
      <c r="M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61"/>
      <c r="J971" s="61"/>
      <c r="K971" s="57"/>
      <c r="L971" s="57"/>
      <c r="M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60"/>
      <c r="J972" s="60"/>
      <c r="K972" s="57"/>
      <c r="L972" s="57"/>
      <c r="M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61"/>
      <c r="J973" s="61"/>
      <c r="K973" s="57"/>
      <c r="L973" s="57"/>
      <c r="M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60"/>
      <c r="J974" s="60"/>
      <c r="K974" s="57"/>
      <c r="L974" s="57"/>
      <c r="M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61"/>
      <c r="J975" s="61"/>
      <c r="K975" s="57"/>
      <c r="L975" s="57"/>
      <c r="M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60"/>
      <c r="J976" s="60"/>
      <c r="K976" s="57"/>
      <c r="L976" s="57"/>
      <c r="M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61"/>
      <c r="J977" s="61"/>
      <c r="K977" s="57"/>
      <c r="L977" s="57"/>
      <c r="M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60"/>
      <c r="J978" s="60"/>
      <c r="K978" s="57"/>
      <c r="L978" s="57"/>
      <c r="M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61"/>
      <c r="J979" s="61"/>
      <c r="K979" s="57"/>
      <c r="L979" s="57"/>
      <c r="M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60"/>
      <c r="J980" s="60"/>
      <c r="K980" s="57"/>
      <c r="L980" s="57"/>
      <c r="M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61"/>
      <c r="J981" s="61"/>
      <c r="K981" s="57"/>
      <c r="L981" s="57"/>
      <c r="M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60"/>
      <c r="J982" s="60"/>
      <c r="K982" s="57"/>
      <c r="L982" s="57"/>
      <c r="M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61"/>
      <c r="J983" s="61"/>
      <c r="K983" s="57"/>
      <c r="L983" s="57"/>
      <c r="M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60"/>
      <c r="J984" s="60"/>
      <c r="K984" s="57"/>
      <c r="L984" s="57"/>
      <c r="M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61"/>
      <c r="J985" s="61"/>
      <c r="K985" s="57"/>
      <c r="L985" s="57"/>
      <c r="M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60"/>
      <c r="J986" s="60"/>
      <c r="K986" s="57"/>
      <c r="L986" s="57"/>
      <c r="M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61"/>
      <c r="J987" s="61"/>
      <c r="K987" s="57"/>
      <c r="L987" s="57"/>
      <c r="M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60"/>
      <c r="J988" s="60"/>
      <c r="K988" s="57"/>
      <c r="L988" s="57"/>
      <c r="M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61"/>
      <c r="J989" s="61"/>
      <c r="K989" s="57"/>
      <c r="L989" s="57"/>
      <c r="M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60"/>
      <c r="J990" s="60"/>
      <c r="K990" s="57"/>
      <c r="L990" s="57"/>
      <c r="M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61"/>
      <c r="J991" s="61"/>
      <c r="K991" s="57"/>
      <c r="L991" s="57"/>
      <c r="M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60"/>
      <c r="J992" s="60"/>
      <c r="K992" s="57"/>
      <c r="L992" s="57"/>
      <c r="M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61"/>
      <c r="J993" s="61"/>
      <c r="K993" s="57"/>
      <c r="L993" s="57"/>
      <c r="M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60"/>
      <c r="J994" s="60"/>
      <c r="K994" s="57"/>
      <c r="L994" s="57"/>
      <c r="M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61"/>
      <c r="J995" s="61"/>
      <c r="K995" s="57"/>
      <c r="L995" s="57"/>
      <c r="M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60"/>
      <c r="J996" s="60"/>
      <c r="K996" s="57"/>
      <c r="L996" s="57"/>
      <c r="M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61"/>
      <c r="J997" s="61"/>
      <c r="K997" s="57"/>
      <c r="L997" s="57"/>
      <c r="M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60"/>
      <c r="J998" s="60"/>
      <c r="K998" s="57"/>
      <c r="L998" s="57"/>
      <c r="M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61"/>
      <c r="J999" s="61"/>
      <c r="K999" s="57"/>
      <c r="L999" s="57"/>
      <c r="M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60"/>
      <c r="J1000" s="60"/>
      <c r="K1000" s="57"/>
      <c r="L1000" s="57"/>
      <c r="M1000" s="5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0"/>
    <col customWidth="1" min="9" max="9" width="14.0"/>
    <col customWidth="1" min="10" max="10" width="15.0"/>
    <col customWidth="1" min="11" max="12" width="16.25"/>
    <col customWidth="1" min="13" max="13" width="51.88"/>
  </cols>
  <sheetData>
    <row r="1">
      <c r="A1" s="28" t="str">
        <f>IFERROR(__xludf.DUMMYFUNCTION("IMPORTRANGE(""https://docs.google.com/spreadsheets/d/1eO365hmI2Nm9_YssKGka92teOkoRD0uzSnM0r31D7ek/edit?pli=1#gid=606377111"",""2025 James!A:k"")"),"Job #")</f>
        <v>Job #</v>
      </c>
      <c r="B1" s="28" t="str">
        <f>IFERROR(__xludf.DUMMYFUNCTION("""COMPUTED_VALUE"""),"Name")</f>
        <v>Name</v>
      </c>
      <c r="C1" s="28" t="str">
        <f>IFERROR(__xludf.DUMMYFUNCTION("""COMPUTED_VALUE"""),"Paid in Full")</f>
        <v>Paid in Full</v>
      </c>
      <c r="D1" s="28" t="str">
        <f>IFERROR(__xludf.DUMMYFUNCTION("""COMPUTED_VALUE"""),"GP%")</f>
        <v>GP%</v>
      </c>
      <c r="E1" s="28" t="str">
        <f>IFERROR(__xludf.DUMMYFUNCTION("""COMPUTED_VALUE"""),"Contract")</f>
        <v>Contract</v>
      </c>
      <c r="F1" s="28" t="str">
        <f>IFERROR(__xludf.DUMMYFUNCTION("""COMPUTED_VALUE"""),"Change Orders")</f>
        <v>Change Orders</v>
      </c>
      <c r="G1" s="29" t="str">
        <f>IFERROR(__xludf.DUMMYFUNCTION("""COMPUTED_VALUE"""),"Invoiced")</f>
        <v>Invoiced</v>
      </c>
      <c r="H1" s="28" t="str">
        <f>IFERROR(__xludf.DUMMYFUNCTION("""COMPUTED_VALUE"""),"Amount Paid")</f>
        <v>Amount Paid</v>
      </c>
      <c r="I1" s="29" t="str">
        <f>IFERROR(__xludf.DUMMYFUNCTION("""COMPUTED_VALUE"""),"Expected Commission")</f>
        <v>Expected Commission</v>
      </c>
      <c r="J1" s="29" t="str">
        <f>IFERROR(__xludf.DUMMYFUNCTION("""COMPUTED_VALUE"""),"Commission Paid")</f>
        <v>Commission Paid</v>
      </c>
      <c r="K1" s="29" t="str">
        <f>IFERROR(__xludf.DUMMYFUNCTION("""COMPUTED_VALUE"""),"Commission Owed")</f>
        <v>Commission Owed</v>
      </c>
      <c r="L1" s="28" t="s">
        <v>55</v>
      </c>
      <c r="M1" s="31" t="s">
        <v>148</v>
      </c>
    </row>
    <row r="2">
      <c r="A2" s="32">
        <f>IFERROR(__xludf.DUMMYFUNCTION("""COMPUTED_VALUE"""),2.0255003E7)</f>
        <v>20255003</v>
      </c>
      <c r="B2" s="32" t="str">
        <f>IFERROR(__xludf.DUMMYFUNCTION("""COMPUTED_VALUE"""),"Doug Gregory")</f>
        <v>Doug Gregory</v>
      </c>
      <c r="C2" s="33" t="b">
        <f>IFERROR(__xludf.DUMMYFUNCTION("""COMPUTED_VALUE"""),TRUE)</f>
        <v>1</v>
      </c>
      <c r="D2" s="39">
        <f>IFERROR(__xludf.DUMMYFUNCTION("""COMPUTED_VALUE"""),0.17589325389711297)</f>
        <v>0.1758932539</v>
      </c>
      <c r="E2" s="34">
        <f>IFERROR(__xludf.DUMMYFUNCTION("""COMPUTED_VALUE"""),45266.0)</f>
        <v>45266</v>
      </c>
      <c r="F2" s="34">
        <f>IFERROR(__xludf.DUMMYFUNCTION("""COMPUTED_VALUE"""),1812.4400000000023)</f>
        <v>1812.44</v>
      </c>
      <c r="G2" s="34">
        <f>IFERROR(__xludf.DUMMYFUNCTION("""COMPUTED_VALUE"""),47078.44)</f>
        <v>47078.44</v>
      </c>
      <c r="H2" s="34">
        <f>IFERROR(__xludf.DUMMYFUNCTION("""COMPUTED_VALUE"""),47078.44)</f>
        <v>47078.44</v>
      </c>
      <c r="I2" s="34">
        <f>IFERROR(__xludf.DUMMYFUNCTION("""COMPUTED_VALUE"""),1883.1376)</f>
        <v>1883.1376</v>
      </c>
      <c r="J2" s="34">
        <f>IFERROR(__xludf.DUMMYFUNCTION("""COMPUTED_VALUE"""),1883.14)</f>
        <v>1883.14</v>
      </c>
      <c r="K2" s="36">
        <f>IFERROR(__xludf.DUMMYFUNCTION("""COMPUTED_VALUE"""),0.0)</f>
        <v>0</v>
      </c>
      <c r="L2" s="37" t="b">
        <v>0</v>
      </c>
      <c r="M2" s="38" t="s">
        <v>151</v>
      </c>
    </row>
    <row r="3">
      <c r="A3" s="32">
        <f>IFERROR(__xludf.DUMMYFUNCTION("""COMPUTED_VALUE"""),2.0255009E7)</f>
        <v>20255009</v>
      </c>
      <c r="B3" s="32" t="str">
        <f>IFERROR(__xludf.DUMMYFUNCTION("""COMPUTED_VALUE"""),"Loren Westfall")</f>
        <v>Loren Westfall</v>
      </c>
      <c r="C3" s="32" t="b">
        <f>IFERROR(__xludf.DUMMYFUNCTION("""COMPUTED_VALUE"""),TRUE)</f>
        <v>1</v>
      </c>
      <c r="D3" s="39">
        <f>IFERROR(__xludf.DUMMYFUNCTION("""COMPUTED_VALUE"""),0.19336031361416334)</f>
        <v>0.1933603136</v>
      </c>
      <c r="E3" s="34">
        <f>IFERROR(__xludf.DUMMYFUNCTION("""COMPUTED_VALUE"""),43510.79)</f>
        <v>43510.79</v>
      </c>
      <c r="F3" s="34">
        <f>IFERROR(__xludf.DUMMYFUNCTION("""COMPUTED_VALUE"""),0.0)</f>
        <v>0</v>
      </c>
      <c r="G3" s="34">
        <f>IFERROR(__xludf.DUMMYFUNCTION("""COMPUTED_VALUE"""),53510.79)</f>
        <v>53510.79</v>
      </c>
      <c r="H3" s="34">
        <f>IFERROR(__xludf.DUMMYFUNCTION("""COMPUTED_VALUE"""),43510.79)</f>
        <v>43510.79</v>
      </c>
      <c r="I3" s="34">
        <f>IFERROR(__xludf.DUMMYFUNCTION("""COMPUTED_VALUE"""),1740.4316000000001)</f>
        <v>1740.4316</v>
      </c>
      <c r="J3" s="34">
        <f>IFERROR(__xludf.DUMMYFUNCTION("""COMPUTED_VALUE"""),1740.43)</f>
        <v>1740.43</v>
      </c>
      <c r="K3" s="36">
        <f>IFERROR(__xludf.DUMMYFUNCTION("""COMPUTED_VALUE"""),0.0)</f>
        <v>0</v>
      </c>
      <c r="L3" s="37" t="b">
        <v>0</v>
      </c>
      <c r="M3" s="38" t="s">
        <v>151</v>
      </c>
    </row>
    <row r="4">
      <c r="A4" s="32">
        <f>IFERROR(__xludf.DUMMYFUNCTION("""COMPUTED_VALUE"""),2.0255014E7)</f>
        <v>20255014</v>
      </c>
      <c r="B4" s="32" t="str">
        <f>IFERROR(__xludf.DUMMYFUNCTION("""COMPUTED_VALUE"""),"HBC Garage Siding")</f>
        <v>HBC Garage Siding</v>
      </c>
      <c r="C4" s="32" t="b">
        <f>IFERROR(__xludf.DUMMYFUNCTION("""COMPUTED_VALUE"""),TRUE)</f>
        <v>1</v>
      </c>
      <c r="D4" s="33">
        <f>IFERROR(__xludf.DUMMYFUNCTION("""COMPUTED_VALUE"""),0.39086361491269467)</f>
        <v>0.3908636149</v>
      </c>
      <c r="E4" s="34">
        <f>IFERROR(__xludf.DUMMYFUNCTION("""COMPUTED_VALUE"""),4388.0)</f>
        <v>4388</v>
      </c>
      <c r="F4" s="34">
        <f>IFERROR(__xludf.DUMMYFUNCTION("""COMPUTED_VALUE"""),-150.0)</f>
        <v>-150</v>
      </c>
      <c r="G4" s="34">
        <f>IFERROR(__xludf.DUMMYFUNCTION("""COMPUTED_VALUE"""),4238.0)</f>
        <v>4238</v>
      </c>
      <c r="H4" s="34">
        <f>IFERROR(__xludf.DUMMYFUNCTION("""COMPUTED_VALUE"""),4238.0)</f>
        <v>4238</v>
      </c>
      <c r="I4" s="34">
        <f>IFERROR(__xludf.DUMMYFUNCTION("""COMPUTED_VALUE"""),169.52)</f>
        <v>169.52</v>
      </c>
      <c r="J4" s="34">
        <f>IFERROR(__xludf.DUMMYFUNCTION("""COMPUTED_VALUE"""),169.52)</f>
        <v>169.52</v>
      </c>
      <c r="K4" s="36">
        <f>IFERROR(__xludf.DUMMYFUNCTION("""COMPUTED_VALUE"""),0.0)</f>
        <v>0</v>
      </c>
      <c r="L4" s="37" t="b">
        <v>0</v>
      </c>
      <c r="M4" s="38" t="s">
        <v>151</v>
      </c>
    </row>
    <row r="5">
      <c r="A5" s="32">
        <f>IFERROR(__xludf.DUMMYFUNCTION("""COMPUTED_VALUE"""),2.0255015E7)</f>
        <v>20255015</v>
      </c>
      <c r="B5" s="32" t="str">
        <f>IFERROR(__xludf.DUMMYFUNCTION("""COMPUTED_VALUE"""),"INS - Rachel Carr")</f>
        <v>INS - Rachel Carr</v>
      </c>
      <c r="C5" s="33" t="b">
        <f>IFERROR(__xludf.DUMMYFUNCTION("""COMPUTED_VALUE"""),TRUE)</f>
        <v>1</v>
      </c>
      <c r="D5" s="33">
        <f>IFERROR(__xludf.DUMMYFUNCTION("""COMPUTED_VALUE"""),0.4444115620130887)</f>
        <v>0.444411562</v>
      </c>
      <c r="E5" s="34">
        <f>IFERROR(__xludf.DUMMYFUNCTION("""COMPUTED_VALUE"""),12984.79)</f>
        <v>12984.79</v>
      </c>
      <c r="F5" s="34">
        <f>IFERROR(__xludf.DUMMYFUNCTION("""COMPUTED_VALUE"""),3978.0)</f>
        <v>3978</v>
      </c>
      <c r="G5" s="34">
        <f>IFERROR(__xludf.DUMMYFUNCTION("""COMPUTED_VALUE"""),16962.79)</f>
        <v>16962.79</v>
      </c>
      <c r="H5" s="34">
        <f>IFERROR(__xludf.DUMMYFUNCTION("""COMPUTED_VALUE"""),16962.79)</f>
        <v>16962.79</v>
      </c>
      <c r="I5" s="34">
        <f>IFERROR(__xludf.DUMMYFUNCTION("""COMPUTED_VALUE"""),678.5116)</f>
        <v>678.5116</v>
      </c>
      <c r="J5" s="34">
        <f>IFERROR(__xludf.DUMMYFUNCTION("""COMPUTED_VALUE"""),678.51)</f>
        <v>678.51</v>
      </c>
      <c r="K5" s="36">
        <f>IFERROR(__xludf.DUMMYFUNCTION("""COMPUTED_VALUE"""),0.0)</f>
        <v>0</v>
      </c>
      <c r="L5" s="37" t="b">
        <v>0</v>
      </c>
      <c r="M5" s="38" t="s">
        <v>151</v>
      </c>
    </row>
    <row r="6">
      <c r="A6" s="32">
        <f>IFERROR(__xludf.DUMMYFUNCTION("""COMPUTED_VALUE"""),2.0255018E7)</f>
        <v>20255018</v>
      </c>
      <c r="B6" s="32" t="str">
        <f>IFERROR(__xludf.DUMMYFUNCTION("""COMPUTED_VALUE"""),"INS - Ryan Horan")</f>
        <v>INS - Ryan Horan</v>
      </c>
      <c r="C6" s="32" t="b">
        <f>IFERROR(__xludf.DUMMYFUNCTION("""COMPUTED_VALUE"""),TRUE)</f>
        <v>1</v>
      </c>
      <c r="D6" s="33">
        <f>IFERROR(__xludf.DUMMYFUNCTION("""COMPUTED_VALUE"""),0.5772536101085624)</f>
        <v>0.5772536101</v>
      </c>
      <c r="E6" s="34">
        <f>IFERROR(__xludf.DUMMYFUNCTION("""COMPUTED_VALUE"""),48190.26)</f>
        <v>48190.26</v>
      </c>
      <c r="F6" s="34">
        <f>IFERROR(__xludf.DUMMYFUNCTION("""COMPUTED_VALUE"""),-13359.590000000004)</f>
        <v>-13359.59</v>
      </c>
      <c r="G6" s="34">
        <f>IFERROR(__xludf.DUMMYFUNCTION("""COMPUTED_VALUE"""),34830.67)</f>
        <v>34830.67</v>
      </c>
      <c r="H6" s="34">
        <f>IFERROR(__xludf.DUMMYFUNCTION("""COMPUTED_VALUE"""),34830.67)</f>
        <v>34830.67</v>
      </c>
      <c r="I6" s="34">
        <f>IFERROR(__xludf.DUMMYFUNCTION("""COMPUTED_VALUE"""),1393.2268)</f>
        <v>1393.2268</v>
      </c>
      <c r="J6" s="34">
        <f>IFERROR(__xludf.DUMMYFUNCTION("""COMPUTED_VALUE"""),1393.23)</f>
        <v>1393.23</v>
      </c>
      <c r="K6" s="36">
        <f>IFERROR(__xludf.DUMMYFUNCTION("""COMPUTED_VALUE"""),0.0)</f>
        <v>0</v>
      </c>
      <c r="L6" s="37" t="b">
        <v>0</v>
      </c>
      <c r="M6" s="38" t="s">
        <v>151</v>
      </c>
    </row>
    <row r="7">
      <c r="A7" s="32">
        <f>IFERROR(__xludf.DUMMYFUNCTION("""COMPUTED_VALUE"""),2.0255022E7)</f>
        <v>20255022</v>
      </c>
      <c r="B7" s="32" t="str">
        <f>IFERROR(__xludf.DUMMYFUNCTION("""COMPUTED_VALUE"""),"Janice Motz")</f>
        <v>Janice Motz</v>
      </c>
      <c r="C7" s="33" t="b">
        <f>IFERROR(__xludf.DUMMYFUNCTION("""COMPUTED_VALUE"""),TRUE)</f>
        <v>1</v>
      </c>
      <c r="D7" s="33">
        <f>IFERROR(__xludf.DUMMYFUNCTION("""COMPUTED_VALUE"""),0.5630689146323042)</f>
        <v>0.5630689146</v>
      </c>
      <c r="E7" s="34">
        <f>IFERROR(__xludf.DUMMYFUNCTION("""COMPUTED_VALUE"""),12309.45)</f>
        <v>12309.45</v>
      </c>
      <c r="F7" s="34">
        <f>IFERROR(__xludf.DUMMYFUNCTION("""COMPUTED_VALUE"""),600.0)</f>
        <v>600</v>
      </c>
      <c r="G7" s="34">
        <f>IFERROR(__xludf.DUMMYFUNCTION("""COMPUTED_VALUE"""),12909.45)</f>
        <v>12909.45</v>
      </c>
      <c r="H7" s="34">
        <f>IFERROR(__xludf.DUMMYFUNCTION("""COMPUTED_VALUE"""),12909.45)</f>
        <v>12909.45</v>
      </c>
      <c r="I7" s="34">
        <f>IFERROR(__xludf.DUMMYFUNCTION("""COMPUTED_VALUE"""),516.378)</f>
        <v>516.378</v>
      </c>
      <c r="J7" s="34">
        <f>IFERROR(__xludf.DUMMYFUNCTION("""COMPUTED_VALUE"""),516.38)</f>
        <v>516.38</v>
      </c>
      <c r="K7" s="36">
        <f>IFERROR(__xludf.DUMMYFUNCTION("""COMPUTED_VALUE"""),0.0)</f>
        <v>0</v>
      </c>
      <c r="L7" s="37" t="b">
        <v>0</v>
      </c>
      <c r="M7" s="38" t="s">
        <v>151</v>
      </c>
    </row>
    <row r="8">
      <c r="A8" s="32">
        <f>IFERROR(__xludf.DUMMYFUNCTION("""COMPUTED_VALUE"""),2.0255024E7)</f>
        <v>20255024</v>
      </c>
      <c r="B8" s="32" t="str">
        <f>IFERROR(__xludf.DUMMYFUNCTION("""COMPUTED_VALUE"""),"Kimberleigh Cooper")</f>
        <v>Kimberleigh Cooper</v>
      </c>
      <c r="C8" s="33" t="b">
        <f>IFERROR(__xludf.DUMMYFUNCTION("""COMPUTED_VALUE"""),TRUE)</f>
        <v>1</v>
      </c>
      <c r="D8" s="33">
        <f>IFERROR(__xludf.DUMMYFUNCTION("""COMPUTED_VALUE"""),0.6660297740173503)</f>
        <v>0.666029774</v>
      </c>
      <c r="E8" s="34">
        <f>IFERROR(__xludf.DUMMYFUNCTION("""COMPUTED_VALUE"""),2334.25)</f>
        <v>2334.25</v>
      </c>
      <c r="F8" s="34">
        <f>IFERROR(__xludf.DUMMYFUNCTION("""COMPUTED_VALUE"""),0.0)</f>
        <v>0</v>
      </c>
      <c r="G8" s="34">
        <f>IFERROR(__xludf.DUMMYFUNCTION("""COMPUTED_VALUE"""),2334.25)</f>
        <v>2334.25</v>
      </c>
      <c r="H8" s="34">
        <f>IFERROR(__xludf.DUMMYFUNCTION("""COMPUTED_VALUE"""),2334.25)</f>
        <v>2334.25</v>
      </c>
      <c r="I8" s="34">
        <f>IFERROR(__xludf.DUMMYFUNCTION("""COMPUTED_VALUE"""),93.37)</f>
        <v>93.37</v>
      </c>
      <c r="J8" s="34">
        <f>IFERROR(__xludf.DUMMYFUNCTION("""COMPUTED_VALUE"""),93.37)</f>
        <v>93.37</v>
      </c>
      <c r="K8" s="36">
        <f>IFERROR(__xludf.DUMMYFUNCTION("""COMPUTED_VALUE"""),0.0)</f>
        <v>0</v>
      </c>
      <c r="L8" s="37" t="b">
        <v>0</v>
      </c>
      <c r="M8" s="38" t="s">
        <v>151</v>
      </c>
    </row>
    <row r="9">
      <c r="A9" s="32">
        <f>IFERROR(__xludf.DUMMYFUNCTION("""COMPUTED_VALUE"""),2.0255025E7)</f>
        <v>20255025</v>
      </c>
      <c r="B9" s="32" t="str">
        <f>IFERROR(__xludf.DUMMYFUNCTION("""COMPUTED_VALUE"""),"Chris Falkowski")</f>
        <v>Chris Falkowski</v>
      </c>
      <c r="C9" s="33" t="b">
        <f>IFERROR(__xludf.DUMMYFUNCTION("""COMPUTED_VALUE"""),TRUE)</f>
        <v>1</v>
      </c>
      <c r="D9" s="33">
        <f>IFERROR(__xludf.DUMMYFUNCTION("""COMPUTED_VALUE"""),0.5187501599780602)</f>
        <v>0.51875016</v>
      </c>
      <c r="E9" s="34">
        <f>IFERROR(__xludf.DUMMYFUNCTION("""COMPUTED_VALUE"""),12289.16)</f>
        <v>12289.16</v>
      </c>
      <c r="F9" s="34">
        <f>IFERROR(__xludf.DUMMYFUNCTION("""COMPUTED_VALUE"""),1384.5900000000001)</f>
        <v>1384.59</v>
      </c>
      <c r="G9" s="34">
        <f>IFERROR(__xludf.DUMMYFUNCTION("""COMPUTED_VALUE"""),13673.75)</f>
        <v>13673.75</v>
      </c>
      <c r="H9" s="34">
        <f>IFERROR(__xludf.DUMMYFUNCTION("""COMPUTED_VALUE"""),13673.75)</f>
        <v>13673.75</v>
      </c>
      <c r="I9" s="34">
        <f>IFERROR(__xludf.DUMMYFUNCTION("""COMPUTED_VALUE"""),546.95)</f>
        <v>546.95</v>
      </c>
      <c r="J9" s="34">
        <f>IFERROR(__xludf.DUMMYFUNCTION("""COMPUTED_VALUE"""),546.95)</f>
        <v>546.95</v>
      </c>
      <c r="K9" s="36">
        <f>IFERROR(__xludf.DUMMYFUNCTION("""COMPUTED_VALUE"""),0.0)</f>
        <v>0</v>
      </c>
      <c r="L9" s="37" t="b">
        <v>0</v>
      </c>
      <c r="M9" s="38" t="s">
        <v>151</v>
      </c>
    </row>
    <row r="10">
      <c r="A10" s="32">
        <f>IFERROR(__xludf.DUMMYFUNCTION("""COMPUTED_VALUE"""),2.0255027E7)</f>
        <v>20255027</v>
      </c>
      <c r="B10" s="32" t="str">
        <f>IFERROR(__xludf.DUMMYFUNCTION("""COMPUTED_VALUE"""),"INS - Tyler Goudy")</f>
        <v>INS - Tyler Goudy</v>
      </c>
      <c r="C10" s="32" t="b">
        <f>IFERROR(__xludf.DUMMYFUNCTION("""COMPUTED_VALUE"""),TRUE)</f>
        <v>1</v>
      </c>
      <c r="D10" s="33">
        <f>IFERROR(__xludf.DUMMYFUNCTION("""COMPUTED_VALUE"""),0.40128220531590647)</f>
        <v>0.4012822053</v>
      </c>
      <c r="E10" s="34">
        <f>IFERROR(__xludf.DUMMYFUNCTION("""COMPUTED_VALUE"""),27690.88)</f>
        <v>27690.88</v>
      </c>
      <c r="F10" s="34">
        <f>IFERROR(__xludf.DUMMYFUNCTION("""COMPUTED_VALUE"""),275.0)</f>
        <v>275</v>
      </c>
      <c r="G10" s="34">
        <f>IFERROR(__xludf.DUMMYFUNCTION("""COMPUTED_VALUE"""),27965.88)</f>
        <v>27965.88</v>
      </c>
      <c r="H10" s="34">
        <f>IFERROR(__xludf.DUMMYFUNCTION("""COMPUTED_VALUE"""),27965.88)</f>
        <v>27965.88</v>
      </c>
      <c r="I10" s="34">
        <f>IFERROR(__xludf.DUMMYFUNCTION("""COMPUTED_VALUE"""),1118.6352000000002)</f>
        <v>1118.6352</v>
      </c>
      <c r="J10" s="34">
        <f>IFERROR(__xludf.DUMMYFUNCTION("""COMPUTED_VALUE"""),1118.64)</f>
        <v>1118.64</v>
      </c>
      <c r="K10" s="36">
        <f>IFERROR(__xludf.DUMMYFUNCTION("""COMPUTED_VALUE"""),0.0)</f>
        <v>0</v>
      </c>
      <c r="L10" s="37" t="b">
        <v>0</v>
      </c>
      <c r="M10" s="38" t="s">
        <v>151</v>
      </c>
    </row>
    <row r="11">
      <c r="A11" s="32">
        <f>IFERROR(__xludf.DUMMYFUNCTION("""COMPUTED_VALUE"""),2.0255031E7)</f>
        <v>20255031</v>
      </c>
      <c r="B11" s="32" t="str">
        <f>IFERROR(__xludf.DUMMYFUNCTION("""COMPUTED_VALUE"""),"Darren Smith")</f>
        <v>Darren Smith</v>
      </c>
      <c r="C11" s="33" t="b">
        <f>IFERROR(__xludf.DUMMYFUNCTION("""COMPUTED_VALUE"""),TRUE)</f>
        <v>1</v>
      </c>
      <c r="D11" s="33">
        <f>IFERROR(__xludf.DUMMYFUNCTION("""COMPUTED_VALUE"""),0.3863117609706706)</f>
        <v>0.386311761</v>
      </c>
      <c r="E11" s="34">
        <f>IFERROR(__xludf.DUMMYFUNCTION("""COMPUTED_VALUE"""),582.69)</f>
        <v>582.69</v>
      </c>
      <c r="F11" s="34">
        <f>IFERROR(__xludf.DUMMYFUNCTION("""COMPUTED_VALUE"""),0.0)</f>
        <v>0</v>
      </c>
      <c r="G11" s="34">
        <f>IFERROR(__xludf.DUMMYFUNCTION("""COMPUTED_VALUE"""),582.69)</f>
        <v>582.69</v>
      </c>
      <c r="H11" s="34">
        <f>IFERROR(__xludf.DUMMYFUNCTION("""COMPUTED_VALUE"""),582.69)</f>
        <v>582.69</v>
      </c>
      <c r="I11" s="34" t="str">
        <f>IFERROR(__xludf.DUMMYFUNCTION("""COMPUTED_VALUE"""),"")</f>
        <v/>
      </c>
      <c r="J11" s="34">
        <f>IFERROR(__xludf.DUMMYFUNCTION("""COMPUTED_VALUE"""),58.27)</f>
        <v>58.27</v>
      </c>
      <c r="K11" s="36">
        <f>IFERROR(__xludf.DUMMYFUNCTION("""COMPUTED_VALUE"""),0.0)</f>
        <v>0</v>
      </c>
      <c r="L11" s="37" t="b">
        <v>0</v>
      </c>
      <c r="M11" s="28"/>
    </row>
    <row r="12">
      <c r="A12" s="32">
        <f>IFERROR(__xludf.DUMMYFUNCTION("""COMPUTED_VALUE"""),2.0255032E7)</f>
        <v>20255032</v>
      </c>
      <c r="B12" s="32" t="str">
        <f>IFERROR(__xludf.DUMMYFUNCTION("""COMPUTED_VALUE"""),"INS - Claude Copeland")</f>
        <v>INS - Claude Copeland</v>
      </c>
      <c r="C12" s="33" t="b">
        <f>IFERROR(__xludf.DUMMYFUNCTION("""COMPUTED_VALUE"""),TRUE)</f>
        <v>1</v>
      </c>
      <c r="D12" s="33">
        <f>IFERROR(__xludf.DUMMYFUNCTION("""COMPUTED_VALUE"""),0.5289876424980202)</f>
        <v>0.5289876425</v>
      </c>
      <c r="E12" s="34">
        <f>IFERROR(__xludf.DUMMYFUNCTION("""COMPUTED_VALUE"""),11551.4499999999)</f>
        <v>11551.45</v>
      </c>
      <c r="F12" s="34">
        <f>IFERROR(__xludf.DUMMYFUNCTION("""COMPUTED_VALUE"""),9082.170000000098)</f>
        <v>9082.17</v>
      </c>
      <c r="G12" s="34">
        <f>IFERROR(__xludf.DUMMYFUNCTION("""COMPUTED_VALUE"""),20633.62)</f>
        <v>20633.62</v>
      </c>
      <c r="H12" s="34">
        <f>IFERROR(__xludf.DUMMYFUNCTION("""COMPUTED_VALUE"""),20633.62)</f>
        <v>20633.62</v>
      </c>
      <c r="I12" s="34">
        <f>IFERROR(__xludf.DUMMYFUNCTION("""COMPUTED_VALUE"""),825.3448)</f>
        <v>825.3448</v>
      </c>
      <c r="J12" s="34">
        <f>IFERROR(__xludf.DUMMYFUNCTION("""COMPUTED_VALUE"""),825.34)</f>
        <v>825.34</v>
      </c>
      <c r="K12" s="36">
        <f>IFERROR(__xludf.DUMMYFUNCTION("""COMPUTED_VALUE"""),0.0)</f>
        <v>0</v>
      </c>
      <c r="L12" s="37" t="b">
        <v>0</v>
      </c>
      <c r="M12" s="38" t="s">
        <v>151</v>
      </c>
    </row>
    <row r="13">
      <c r="A13" s="32">
        <f>IFERROR(__xludf.DUMMYFUNCTION("""COMPUTED_VALUE"""),2.0255033E7)</f>
        <v>20255033</v>
      </c>
      <c r="B13" s="32" t="str">
        <f>IFERROR(__xludf.DUMMYFUNCTION("""COMPUTED_VALUE"""),"Jim Steinman")</f>
        <v>Jim Steinman</v>
      </c>
      <c r="C13" s="33" t="b">
        <f>IFERROR(__xludf.DUMMYFUNCTION("""COMPUTED_VALUE"""),TRUE)</f>
        <v>1</v>
      </c>
      <c r="D13" s="33">
        <f>IFERROR(__xludf.DUMMYFUNCTION("""COMPUTED_VALUE"""),0.3680662557781202)</f>
        <v>0.3680662558</v>
      </c>
      <c r="E13" s="34">
        <f>IFERROR(__xludf.DUMMYFUNCTION("""COMPUTED_VALUE"""),1298.0)</f>
        <v>1298</v>
      </c>
      <c r="F13" s="34">
        <f>IFERROR(__xludf.DUMMYFUNCTION("""COMPUTED_VALUE"""),0.0)</f>
        <v>0</v>
      </c>
      <c r="G13" s="34">
        <f>IFERROR(__xludf.DUMMYFUNCTION("""COMPUTED_VALUE"""),1298.0)</f>
        <v>1298</v>
      </c>
      <c r="H13" s="34">
        <f>IFERROR(__xludf.DUMMYFUNCTION("""COMPUTED_VALUE"""),1298.0)</f>
        <v>1298</v>
      </c>
      <c r="I13" s="34" t="str">
        <f>IFERROR(__xludf.DUMMYFUNCTION("""COMPUTED_VALUE"""),"")</f>
        <v/>
      </c>
      <c r="J13" s="34">
        <f>IFERROR(__xludf.DUMMYFUNCTION("""COMPUTED_VALUE"""),129.8)</f>
        <v>129.8</v>
      </c>
      <c r="K13" s="36">
        <f>IFERROR(__xludf.DUMMYFUNCTION("""COMPUTED_VALUE"""),0.0)</f>
        <v>0</v>
      </c>
      <c r="L13" s="37" t="b">
        <v>0</v>
      </c>
      <c r="M13" s="28"/>
    </row>
    <row r="14">
      <c r="A14" s="32">
        <f>IFERROR(__xludf.DUMMYFUNCTION("""COMPUTED_VALUE"""),2.0255034E7)</f>
        <v>20255034</v>
      </c>
      <c r="B14" s="32" t="str">
        <f>IFERROR(__xludf.DUMMYFUNCTION("""COMPUTED_VALUE"""),"Dalton Swafford")</f>
        <v>Dalton Swafford</v>
      </c>
      <c r="C14" s="33" t="b">
        <f>IFERROR(__xludf.DUMMYFUNCTION("""COMPUTED_VALUE"""),TRUE)</f>
        <v>1</v>
      </c>
      <c r="D14" s="33">
        <f>IFERROR(__xludf.DUMMYFUNCTION("""COMPUTED_VALUE"""),0.5652173913043478)</f>
        <v>0.5652173913</v>
      </c>
      <c r="E14" s="34">
        <f>IFERROR(__xludf.DUMMYFUNCTION("""COMPUTED_VALUE"""),459.89)</f>
        <v>459.89</v>
      </c>
      <c r="F14" s="34">
        <f>IFERROR(__xludf.DUMMYFUNCTION("""COMPUTED_VALUE"""),0.11000000000001364)</f>
        <v>0.11</v>
      </c>
      <c r="G14" s="34">
        <f>IFERROR(__xludf.DUMMYFUNCTION("""COMPUTED_VALUE"""),460.0)</f>
        <v>460</v>
      </c>
      <c r="H14" s="34">
        <f>IFERROR(__xludf.DUMMYFUNCTION("""COMPUTED_VALUE"""),460.0)</f>
        <v>460</v>
      </c>
      <c r="I14" s="34" t="str">
        <f>IFERROR(__xludf.DUMMYFUNCTION("""COMPUTED_VALUE"""),"")</f>
        <v/>
      </c>
      <c r="J14" s="34">
        <f>IFERROR(__xludf.DUMMYFUNCTION("""COMPUTED_VALUE"""),46.0)</f>
        <v>46</v>
      </c>
      <c r="K14" s="36">
        <f>IFERROR(__xludf.DUMMYFUNCTION("""COMPUTED_VALUE"""),0.0)</f>
        <v>0</v>
      </c>
      <c r="L14" s="37" t="b">
        <v>0</v>
      </c>
      <c r="M14" s="28"/>
    </row>
    <row r="15">
      <c r="A15" s="32">
        <f>IFERROR(__xludf.DUMMYFUNCTION("""COMPUTED_VALUE"""),2.0255037E7)</f>
        <v>20255037</v>
      </c>
      <c r="B15" s="32" t="str">
        <f>IFERROR(__xludf.DUMMYFUNCTION("""COMPUTED_VALUE"""),"Steve Oroszi")</f>
        <v>Steve Oroszi</v>
      </c>
      <c r="C15" s="33" t="b">
        <f>IFERROR(__xludf.DUMMYFUNCTION("""COMPUTED_VALUE"""),TRUE)</f>
        <v>1</v>
      </c>
      <c r="D15" s="33">
        <f>IFERROR(__xludf.DUMMYFUNCTION("""COMPUTED_VALUE"""),0.3359792188797392)</f>
        <v>0.3359792189</v>
      </c>
      <c r="E15" s="34">
        <f>IFERROR(__xludf.DUMMYFUNCTION("""COMPUTED_VALUE"""),3788.19)</f>
        <v>3788.19</v>
      </c>
      <c r="F15" s="34">
        <f>IFERROR(__xludf.DUMMYFUNCTION("""COMPUTED_VALUE"""),150.0)</f>
        <v>150</v>
      </c>
      <c r="G15" s="34">
        <f>IFERROR(__xludf.DUMMYFUNCTION("""COMPUTED_VALUE"""),3938.19)</f>
        <v>3938.19</v>
      </c>
      <c r="H15" s="34">
        <f>IFERROR(__xludf.DUMMYFUNCTION("""COMPUTED_VALUE"""),3938.19)</f>
        <v>3938.19</v>
      </c>
      <c r="I15" s="34" t="str">
        <f>IFERROR(__xludf.DUMMYFUNCTION("""COMPUTED_VALUE"""),"")</f>
        <v/>
      </c>
      <c r="J15" s="34">
        <f>IFERROR(__xludf.DUMMYFUNCTION("""COMPUTED_VALUE"""),393.82)</f>
        <v>393.82</v>
      </c>
      <c r="K15" s="36">
        <f>IFERROR(__xludf.DUMMYFUNCTION("""COMPUTED_VALUE"""),0.0)</f>
        <v>0</v>
      </c>
      <c r="L15" s="37" t="b">
        <v>0</v>
      </c>
      <c r="M15" s="28"/>
    </row>
    <row r="16">
      <c r="A16" s="32">
        <f>IFERROR(__xludf.DUMMYFUNCTION("""COMPUTED_VALUE"""),2.0255039E7)</f>
        <v>20255039</v>
      </c>
      <c r="B16" s="32" t="str">
        <f>IFERROR(__xludf.DUMMYFUNCTION("""COMPUTED_VALUE"""),"Mina Shafiei")</f>
        <v>Mina Shafiei</v>
      </c>
      <c r="C16" s="33" t="b">
        <f>IFERROR(__xludf.DUMMYFUNCTION("""COMPUTED_VALUE"""),TRUE)</f>
        <v>1</v>
      </c>
      <c r="D16" s="33">
        <f>IFERROR(__xludf.DUMMYFUNCTION("""COMPUTED_VALUE"""),0.33181588014758884)</f>
        <v>0.3318158801</v>
      </c>
      <c r="E16" s="34">
        <f>IFERROR(__xludf.DUMMYFUNCTION("""COMPUTED_VALUE"""),12125.58)</f>
        <v>12125.58</v>
      </c>
      <c r="F16" s="34">
        <f>IFERROR(__xludf.DUMMYFUNCTION("""COMPUTED_VALUE"""),0.0)</f>
        <v>0</v>
      </c>
      <c r="G16" s="34">
        <f>IFERROR(__xludf.DUMMYFUNCTION("""COMPUTED_VALUE"""),12125.58)</f>
        <v>12125.58</v>
      </c>
      <c r="H16" s="34">
        <f>IFERROR(__xludf.DUMMYFUNCTION("""COMPUTED_VALUE"""),12125.58)</f>
        <v>12125.58</v>
      </c>
      <c r="I16" s="34">
        <f>IFERROR(__xludf.DUMMYFUNCTION("""COMPUTED_VALUE"""),485.02320000000003)</f>
        <v>485.0232</v>
      </c>
      <c r="J16" s="34">
        <f>IFERROR(__xludf.DUMMYFUNCTION("""COMPUTED_VALUE"""),485.02)</f>
        <v>485.02</v>
      </c>
      <c r="K16" s="36">
        <f>IFERROR(__xludf.DUMMYFUNCTION("""COMPUTED_VALUE"""),0.0)</f>
        <v>0</v>
      </c>
      <c r="L16" s="37" t="b">
        <v>0</v>
      </c>
      <c r="M16" s="38" t="s">
        <v>151</v>
      </c>
    </row>
    <row r="17">
      <c r="A17" s="32">
        <f>IFERROR(__xludf.DUMMYFUNCTION("""COMPUTED_VALUE"""),2.025504E7)</f>
        <v>20255040</v>
      </c>
      <c r="B17" s="32" t="str">
        <f>IFERROR(__xludf.DUMMYFUNCTION("""COMPUTED_VALUE"""),"Ben McClurg")</f>
        <v>Ben McClurg</v>
      </c>
      <c r="C17" s="33" t="b">
        <f>IFERROR(__xludf.DUMMYFUNCTION("""COMPUTED_VALUE"""),TRUE)</f>
        <v>1</v>
      </c>
      <c r="D17" s="33">
        <f>IFERROR(__xludf.DUMMYFUNCTION("""COMPUTED_VALUE"""),0.370062862141861)</f>
        <v>0.3700628621</v>
      </c>
      <c r="E17" s="34">
        <f>IFERROR(__xludf.DUMMYFUNCTION("""COMPUTED_VALUE"""),12928.29)</f>
        <v>12928.29</v>
      </c>
      <c r="F17" s="34">
        <f>IFERROR(__xludf.DUMMYFUNCTION("""COMPUTED_VALUE"""),0.0)</f>
        <v>0</v>
      </c>
      <c r="G17" s="34">
        <f>IFERROR(__xludf.DUMMYFUNCTION("""COMPUTED_VALUE"""),12928.29)</f>
        <v>12928.29</v>
      </c>
      <c r="H17" s="34">
        <f>IFERROR(__xludf.DUMMYFUNCTION("""COMPUTED_VALUE"""),12928.29)</f>
        <v>12928.29</v>
      </c>
      <c r="I17" s="34">
        <f>IFERROR(__xludf.DUMMYFUNCTION("""COMPUTED_VALUE"""),517.1316)</f>
        <v>517.1316</v>
      </c>
      <c r="J17" s="34">
        <f>IFERROR(__xludf.DUMMYFUNCTION("""COMPUTED_VALUE"""),517.13)</f>
        <v>517.13</v>
      </c>
      <c r="K17" s="36">
        <f>IFERROR(__xludf.DUMMYFUNCTION("""COMPUTED_VALUE"""),0.0)</f>
        <v>0</v>
      </c>
      <c r="L17" s="37" t="b">
        <v>0</v>
      </c>
      <c r="M17" s="38" t="s">
        <v>151</v>
      </c>
    </row>
    <row r="18">
      <c r="A18" s="32">
        <f>IFERROR(__xludf.DUMMYFUNCTION("""COMPUTED_VALUE"""),2.0255041E7)</f>
        <v>20255041</v>
      </c>
      <c r="B18" s="32" t="str">
        <f>IFERROR(__xludf.DUMMYFUNCTION("""COMPUTED_VALUE"""),"Zynell Clemons")</f>
        <v>Zynell Clemons</v>
      </c>
      <c r="C18" s="32" t="b">
        <f>IFERROR(__xludf.DUMMYFUNCTION("""COMPUTED_VALUE"""),TRUE)</f>
        <v>1</v>
      </c>
      <c r="D18" s="33" t="str">
        <f>IFERROR(__xludf.DUMMYFUNCTION("""COMPUTED_VALUE"""),"")</f>
        <v/>
      </c>
      <c r="E18" s="34">
        <f>IFERROR(__xludf.DUMMYFUNCTION("""COMPUTED_VALUE"""),0.0)</f>
        <v>0</v>
      </c>
      <c r="F18" s="34">
        <f>IFERROR(__xludf.DUMMYFUNCTION("""COMPUTED_VALUE"""),0.0)</f>
        <v>0</v>
      </c>
      <c r="G18" s="34">
        <f>IFERROR(__xludf.DUMMYFUNCTION("""COMPUTED_VALUE"""),0.0)</f>
        <v>0</v>
      </c>
      <c r="H18" s="34">
        <f>IFERROR(__xludf.DUMMYFUNCTION("""COMPUTED_VALUE"""),0.0)</f>
        <v>0</v>
      </c>
      <c r="I18" s="34" t="str">
        <f>IFERROR(__xludf.DUMMYFUNCTION("""COMPUTED_VALUE"""),"")</f>
        <v/>
      </c>
      <c r="J18" s="34">
        <f>IFERROR(__xludf.DUMMYFUNCTION("""COMPUTED_VALUE"""),0.0)</f>
        <v>0</v>
      </c>
      <c r="K18" s="34">
        <f>IFERROR(__xludf.DUMMYFUNCTION("""COMPUTED_VALUE"""),0.0)</f>
        <v>0</v>
      </c>
      <c r="L18" s="32" t="b">
        <v>0</v>
      </c>
      <c r="M18" s="28"/>
    </row>
    <row r="19">
      <c r="A19" s="32">
        <f>IFERROR(__xludf.DUMMYFUNCTION("""COMPUTED_VALUE"""),2.0255042E7)</f>
        <v>20255042</v>
      </c>
      <c r="B19" s="32" t="str">
        <f>IFERROR(__xludf.DUMMYFUNCTION("""COMPUTED_VALUE"""),"Penny Willis")</f>
        <v>Penny Willis</v>
      </c>
      <c r="C19" s="33" t="b">
        <f>IFERROR(__xludf.DUMMYFUNCTION("""COMPUTED_VALUE"""),TRUE)</f>
        <v>1</v>
      </c>
      <c r="D19" s="33">
        <f>IFERROR(__xludf.DUMMYFUNCTION("""COMPUTED_VALUE"""),0.5238095238095238)</f>
        <v>0.5238095238</v>
      </c>
      <c r="E19" s="34">
        <f>IFERROR(__xludf.DUMMYFUNCTION("""COMPUTED_VALUE"""),2100.0)</f>
        <v>2100</v>
      </c>
      <c r="F19" s="34">
        <f>IFERROR(__xludf.DUMMYFUNCTION("""COMPUTED_VALUE"""),0.0)</f>
        <v>0</v>
      </c>
      <c r="G19" s="34">
        <f>IFERROR(__xludf.DUMMYFUNCTION("""COMPUTED_VALUE"""),2100.0)</f>
        <v>2100</v>
      </c>
      <c r="H19" s="34">
        <f>IFERROR(__xludf.DUMMYFUNCTION("""COMPUTED_VALUE"""),2100.0)</f>
        <v>2100</v>
      </c>
      <c r="I19" s="34" t="str">
        <f>IFERROR(__xludf.DUMMYFUNCTION("""COMPUTED_VALUE"""),"")</f>
        <v/>
      </c>
      <c r="J19" s="34">
        <f>IFERROR(__xludf.DUMMYFUNCTION("""COMPUTED_VALUE"""),210.0)</f>
        <v>210</v>
      </c>
      <c r="K19" s="36">
        <f>IFERROR(__xludf.DUMMYFUNCTION("""COMPUTED_VALUE"""),0.0)</f>
        <v>0</v>
      </c>
      <c r="L19" s="37" t="b">
        <v>0</v>
      </c>
      <c r="M19" s="28"/>
    </row>
    <row r="20">
      <c r="A20" s="32">
        <f>IFERROR(__xludf.DUMMYFUNCTION("""COMPUTED_VALUE"""),2.0255045E7)</f>
        <v>20255045</v>
      </c>
      <c r="B20" s="32" t="str">
        <f>IFERROR(__xludf.DUMMYFUNCTION("""COMPUTED_VALUE"""),"Jennifer Colwell")</f>
        <v>Jennifer Colwell</v>
      </c>
      <c r="C20" s="33" t="b">
        <f>IFERROR(__xludf.DUMMYFUNCTION("""COMPUTED_VALUE"""),TRUE)</f>
        <v>1</v>
      </c>
      <c r="D20" s="33">
        <f>IFERROR(__xludf.DUMMYFUNCTION("""COMPUTED_VALUE"""),0.32572054873715783)</f>
        <v>0.3257205487</v>
      </c>
      <c r="E20" s="34">
        <f>IFERROR(__xludf.DUMMYFUNCTION("""COMPUTED_VALUE"""),4096.35)</f>
        <v>4096.35</v>
      </c>
      <c r="F20" s="34">
        <f>IFERROR(__xludf.DUMMYFUNCTION("""COMPUTED_VALUE"""),55.0)</f>
        <v>55</v>
      </c>
      <c r="G20" s="34">
        <f>IFERROR(__xludf.DUMMYFUNCTION("""COMPUTED_VALUE"""),4151.35)</f>
        <v>4151.35</v>
      </c>
      <c r="H20" s="34">
        <f>IFERROR(__xludf.DUMMYFUNCTION("""COMPUTED_VALUE"""),4151.35)</f>
        <v>4151.35</v>
      </c>
      <c r="I20" s="34">
        <f>IFERROR(__xludf.DUMMYFUNCTION("""COMPUTED_VALUE"""),166.05400000000003)</f>
        <v>166.054</v>
      </c>
      <c r="J20" s="34">
        <f>IFERROR(__xludf.DUMMYFUNCTION("""COMPUTED_VALUE"""),166.05)</f>
        <v>166.05</v>
      </c>
      <c r="K20" s="36">
        <f>IFERROR(__xludf.DUMMYFUNCTION("""COMPUTED_VALUE"""),0.0)</f>
        <v>0</v>
      </c>
      <c r="L20" s="37" t="b">
        <v>0</v>
      </c>
      <c r="M20" s="38" t="s">
        <v>151</v>
      </c>
    </row>
    <row r="21">
      <c r="A21" s="32">
        <f>IFERROR(__xludf.DUMMYFUNCTION("""COMPUTED_VALUE"""),2.0255047E7)</f>
        <v>20255047</v>
      </c>
      <c r="B21" s="32" t="str">
        <f>IFERROR(__xludf.DUMMYFUNCTION("""COMPUTED_VALUE"""),"Anthony Cruz")</f>
        <v>Anthony Cruz</v>
      </c>
      <c r="C21" s="32" t="b">
        <f>IFERROR(__xludf.DUMMYFUNCTION("""COMPUTED_VALUE"""),TRUE)</f>
        <v>1</v>
      </c>
      <c r="D21" s="39">
        <f>IFERROR(__xludf.DUMMYFUNCTION("""COMPUTED_VALUE"""),0.16352187975677776)</f>
        <v>0.1635218798</v>
      </c>
      <c r="E21" s="34">
        <f>IFERROR(__xludf.DUMMYFUNCTION("""COMPUTED_VALUE"""),11392.42)</f>
        <v>11392.42</v>
      </c>
      <c r="F21" s="34">
        <f>IFERROR(__xludf.DUMMYFUNCTION("""COMPUTED_VALUE"""),-5236.7300000000005)</f>
        <v>-5236.73</v>
      </c>
      <c r="G21" s="34">
        <f>IFERROR(__xludf.DUMMYFUNCTION("""COMPUTED_VALUE"""),175.0)</f>
        <v>175</v>
      </c>
      <c r="H21" s="34">
        <f>IFERROR(__xludf.DUMMYFUNCTION("""COMPUTED_VALUE"""),6155.69)</f>
        <v>6155.69</v>
      </c>
      <c r="I21" s="34">
        <f>IFERROR(__xludf.DUMMYFUNCTION("""COMPUTED_VALUE"""),246.2276)</f>
        <v>246.2276</v>
      </c>
      <c r="J21" s="34">
        <f>IFERROR(__xludf.DUMMYFUNCTION("""COMPUTED_VALUE"""),7.0)</f>
        <v>7</v>
      </c>
      <c r="K21" s="36">
        <f>IFERROR(__xludf.DUMMYFUNCTION("""COMPUTED_VALUE"""),0.0)</f>
        <v>0</v>
      </c>
      <c r="L21" s="37" t="b">
        <v>0</v>
      </c>
      <c r="M21" s="38" t="s">
        <v>151</v>
      </c>
    </row>
    <row r="22">
      <c r="A22" s="32">
        <f>IFERROR(__xludf.DUMMYFUNCTION("""COMPUTED_VALUE"""),2.0255052E7)</f>
        <v>20255052</v>
      </c>
      <c r="B22" s="32" t="str">
        <f>IFERROR(__xludf.DUMMYFUNCTION("""COMPUTED_VALUE"""),"INS - Misty Dalykas")</f>
        <v>INS - Misty Dalykas</v>
      </c>
      <c r="C22" s="33" t="b">
        <f>IFERROR(__xludf.DUMMYFUNCTION("""COMPUTED_VALUE"""),TRUE)</f>
        <v>1</v>
      </c>
      <c r="D22" s="33">
        <f>IFERROR(__xludf.DUMMYFUNCTION("""COMPUTED_VALUE"""),0.40736683118763156)</f>
        <v>0.4073668312</v>
      </c>
      <c r="E22" s="34">
        <f>IFERROR(__xludf.DUMMYFUNCTION("""COMPUTED_VALUE"""),7395.46)</f>
        <v>7395.46</v>
      </c>
      <c r="F22" s="34">
        <f>IFERROR(__xludf.DUMMYFUNCTION("""COMPUTED_VALUE"""),3284.0299999999997)</f>
        <v>3284.03</v>
      </c>
      <c r="G22" s="34">
        <f>IFERROR(__xludf.DUMMYFUNCTION("""COMPUTED_VALUE"""),10679.49)</f>
        <v>10679.49</v>
      </c>
      <c r="H22" s="34">
        <f>IFERROR(__xludf.DUMMYFUNCTION("""COMPUTED_VALUE"""),10679.49)</f>
        <v>10679.49</v>
      </c>
      <c r="I22" s="34" t="str">
        <f>IFERROR(__xludf.DUMMYFUNCTION("""COMPUTED_VALUE"""),"")</f>
        <v/>
      </c>
      <c r="J22" s="34">
        <f>IFERROR(__xludf.DUMMYFUNCTION("""COMPUTED_VALUE"""),1067.95)</f>
        <v>1067.95</v>
      </c>
      <c r="K22" s="36">
        <f>IFERROR(__xludf.DUMMYFUNCTION("""COMPUTED_VALUE"""),0.0)</f>
        <v>0</v>
      </c>
      <c r="L22" s="37" t="b">
        <v>0</v>
      </c>
      <c r="M22" s="28"/>
    </row>
    <row r="23">
      <c r="A23" s="41">
        <f>IFERROR(__xludf.DUMMYFUNCTION("""COMPUTED_VALUE"""),2.0255055E7)</f>
        <v>20255055</v>
      </c>
      <c r="B23" s="41" t="str">
        <f>IFERROR(__xludf.DUMMYFUNCTION("""COMPUTED_VALUE"""),"INS - Kevin And Cheryl Sims")</f>
        <v>INS - Kevin And Cheryl Sims</v>
      </c>
      <c r="C23" s="41" t="b">
        <f>IFERROR(__xludf.DUMMYFUNCTION("""COMPUTED_VALUE"""),FALSE)</f>
        <v>0</v>
      </c>
      <c r="D23" s="42" t="str">
        <f>IFERROR(__xludf.DUMMYFUNCTION("""COMPUTED_VALUE"""),"")</f>
        <v/>
      </c>
      <c r="E23" s="43">
        <f>IFERROR(__xludf.DUMMYFUNCTION("""COMPUTED_VALUE"""),58303.9799999999)</f>
        <v>58303.98</v>
      </c>
      <c r="F23" s="43">
        <f>IFERROR(__xludf.DUMMYFUNCTION("""COMPUTED_VALUE"""),0.0)</f>
        <v>0</v>
      </c>
      <c r="G23" s="43">
        <f>IFERROR(__xludf.DUMMYFUNCTION("""COMPUTED_VALUE"""),51092.47)</f>
        <v>51092.47</v>
      </c>
      <c r="H23" s="43">
        <f>IFERROR(__xludf.DUMMYFUNCTION("""COMPUTED_VALUE"""),51092.47)</f>
        <v>51092.47</v>
      </c>
      <c r="I23" s="43" t="str">
        <f>IFERROR(__xludf.DUMMYFUNCTION("""COMPUTED_VALUE"""),"")</f>
        <v/>
      </c>
      <c r="J23" s="43">
        <f>IFERROR(__xludf.DUMMYFUNCTION("""COMPUTED_VALUE"""),5109.25)</f>
        <v>5109.25</v>
      </c>
      <c r="K23" s="45">
        <f>IFERROR(__xludf.DUMMYFUNCTION("""COMPUTED_VALUE"""),0.0)</f>
        <v>0</v>
      </c>
      <c r="L23" s="46" t="b">
        <v>0</v>
      </c>
      <c r="M23" s="28"/>
    </row>
    <row r="24">
      <c r="A24" s="32">
        <f>IFERROR(__xludf.DUMMYFUNCTION("""COMPUTED_VALUE"""),2.0255056E7)</f>
        <v>20255056</v>
      </c>
      <c r="B24" s="32" t="str">
        <f>IFERROR(__xludf.DUMMYFUNCTION("""COMPUTED_VALUE"""),"INS - Ryan Bloomingdale")</f>
        <v>INS - Ryan Bloomingdale</v>
      </c>
      <c r="C24" s="32" t="b">
        <f>IFERROR(__xludf.DUMMYFUNCTION("""COMPUTED_VALUE"""),TRUE)</f>
        <v>1</v>
      </c>
      <c r="D24" s="33">
        <f>IFERROR(__xludf.DUMMYFUNCTION("""COMPUTED_VALUE"""),0.6812033617780453)</f>
        <v>0.6812033618</v>
      </c>
      <c r="E24" s="34">
        <f>IFERROR(__xludf.DUMMYFUNCTION("""COMPUTED_VALUE"""),56343.02)</f>
        <v>56343.02</v>
      </c>
      <c r="F24" s="34">
        <f>IFERROR(__xludf.DUMMYFUNCTION("""COMPUTED_VALUE"""),1810.7300000000032)</f>
        <v>1810.73</v>
      </c>
      <c r="G24" s="34">
        <f>IFERROR(__xludf.DUMMYFUNCTION("""COMPUTED_VALUE"""),46244.27)</f>
        <v>46244.27</v>
      </c>
      <c r="H24" s="34">
        <f>IFERROR(__xludf.DUMMYFUNCTION("""COMPUTED_VALUE"""),58153.75)</f>
        <v>58153.75</v>
      </c>
      <c r="I24" s="34" t="str">
        <f>IFERROR(__xludf.DUMMYFUNCTION("""COMPUTED_VALUE"""),"")</f>
        <v/>
      </c>
      <c r="J24" s="34">
        <f>IFERROR(__xludf.DUMMYFUNCTION("""COMPUTED_VALUE"""),4624.43)</f>
        <v>4624.43</v>
      </c>
      <c r="K24" s="36">
        <f>IFERROR(__xludf.DUMMYFUNCTION("""COMPUTED_VALUE"""),0.0)</f>
        <v>0</v>
      </c>
      <c r="L24" s="37" t="b">
        <v>0</v>
      </c>
      <c r="M24" s="28"/>
    </row>
    <row r="25">
      <c r="A25" s="32">
        <f>IFERROR(__xludf.DUMMYFUNCTION("""COMPUTED_VALUE"""),2.025506E7)</f>
        <v>20255060</v>
      </c>
      <c r="B25" s="32" t="str">
        <f>IFERROR(__xludf.DUMMYFUNCTION("""COMPUTED_VALUE"""),"Rayce Robinon - Clocktower")</f>
        <v>Rayce Robinon - Clocktower</v>
      </c>
      <c r="C25" s="33" t="b">
        <f>IFERROR(__xludf.DUMMYFUNCTION("""COMPUTED_VALUE"""),TRUE)</f>
        <v>1</v>
      </c>
      <c r="D25" s="33">
        <f>IFERROR(__xludf.DUMMYFUNCTION("""COMPUTED_VALUE"""),0.0)</f>
        <v>0</v>
      </c>
      <c r="E25" s="34">
        <f>IFERROR(__xludf.DUMMYFUNCTION("""COMPUTED_VALUE"""),175.0)</f>
        <v>175</v>
      </c>
      <c r="F25" s="34">
        <f>IFERROR(__xludf.DUMMYFUNCTION("""COMPUTED_VALUE"""),0.0)</f>
        <v>0</v>
      </c>
      <c r="G25" s="34">
        <f>IFERROR(__xludf.DUMMYFUNCTION("""COMPUTED_VALUE"""),175.0)</f>
        <v>175</v>
      </c>
      <c r="H25" s="34">
        <f>IFERROR(__xludf.DUMMYFUNCTION("""COMPUTED_VALUE"""),175.0)</f>
        <v>175</v>
      </c>
      <c r="I25" s="34" t="str">
        <f>IFERROR(__xludf.DUMMYFUNCTION("""COMPUTED_VALUE"""),"")</f>
        <v/>
      </c>
      <c r="J25" s="34">
        <f>IFERROR(__xludf.DUMMYFUNCTION("""COMPUTED_VALUE"""),17.5)</f>
        <v>17.5</v>
      </c>
      <c r="K25" s="36">
        <f>IFERROR(__xludf.DUMMYFUNCTION("""COMPUTED_VALUE"""),0.0)</f>
        <v>0</v>
      </c>
      <c r="L25" s="37" t="b">
        <v>0</v>
      </c>
      <c r="M25" s="28"/>
    </row>
    <row r="26">
      <c r="A26" s="32">
        <f>IFERROR(__xludf.DUMMYFUNCTION("""COMPUTED_VALUE"""),2.0255065E7)</f>
        <v>20255065</v>
      </c>
      <c r="B26" s="32" t="str">
        <f>IFERROR(__xludf.DUMMYFUNCTION("""COMPUTED_VALUE"""),"Robert Cobb")</f>
        <v>Robert Cobb</v>
      </c>
      <c r="C26" s="33" t="b">
        <f>IFERROR(__xludf.DUMMYFUNCTION("""COMPUTED_VALUE"""),TRUE)</f>
        <v>1</v>
      </c>
      <c r="D26" s="33">
        <f>IFERROR(__xludf.DUMMYFUNCTION("""COMPUTED_VALUE"""),0.40393161798842026)</f>
        <v>0.403931618</v>
      </c>
      <c r="E26" s="34">
        <f>IFERROR(__xludf.DUMMYFUNCTION("""COMPUTED_VALUE"""),15148.55)</f>
        <v>15148.55</v>
      </c>
      <c r="F26" s="34">
        <f>IFERROR(__xludf.DUMMYFUNCTION("""COMPUTED_VALUE"""),4409.810000000001)</f>
        <v>4409.81</v>
      </c>
      <c r="G26" s="34">
        <f>IFERROR(__xludf.DUMMYFUNCTION("""COMPUTED_VALUE"""),19558.36)</f>
        <v>19558.36</v>
      </c>
      <c r="H26" s="34">
        <f>IFERROR(__xludf.DUMMYFUNCTION("""COMPUTED_VALUE"""),19558.36)</f>
        <v>19558.36</v>
      </c>
      <c r="I26" s="34" t="str">
        <f>IFERROR(__xludf.DUMMYFUNCTION("""COMPUTED_VALUE"""),"")</f>
        <v/>
      </c>
      <c r="J26" s="34">
        <f>IFERROR(__xludf.DUMMYFUNCTION("""COMPUTED_VALUE"""),1955.84)</f>
        <v>1955.84</v>
      </c>
      <c r="K26" s="36">
        <f>IFERROR(__xludf.DUMMYFUNCTION("""COMPUTED_VALUE"""),0.0)</f>
        <v>0</v>
      </c>
      <c r="L26" s="37" t="b">
        <v>0</v>
      </c>
      <c r="M26" s="28"/>
    </row>
    <row r="27">
      <c r="A27" s="32">
        <f>IFERROR(__xludf.DUMMYFUNCTION("""COMPUTED_VALUE"""),2.0255068E7)</f>
        <v>20255068</v>
      </c>
      <c r="B27" s="32" t="str">
        <f>IFERROR(__xludf.DUMMYFUNCTION("""COMPUTED_VALUE"""),"INS - John Martin")</f>
        <v>INS - John Martin</v>
      </c>
      <c r="C27" s="33" t="b">
        <f>IFERROR(__xludf.DUMMYFUNCTION("""COMPUTED_VALUE"""),TRUE)</f>
        <v>1</v>
      </c>
      <c r="D27" s="33">
        <f>IFERROR(__xludf.DUMMYFUNCTION("""COMPUTED_VALUE"""),0.35327620981100477)</f>
        <v>0.3532762098</v>
      </c>
      <c r="E27" s="34">
        <f>IFERROR(__xludf.DUMMYFUNCTION("""COMPUTED_VALUE"""),11209.33)</f>
        <v>11209.33</v>
      </c>
      <c r="F27" s="34">
        <f>IFERROR(__xludf.DUMMYFUNCTION("""COMPUTED_VALUE"""),110.0)</f>
        <v>110</v>
      </c>
      <c r="G27" s="34">
        <f>IFERROR(__xludf.DUMMYFUNCTION("""COMPUTED_VALUE"""),11319.33)</f>
        <v>11319.33</v>
      </c>
      <c r="H27" s="34">
        <f>IFERROR(__xludf.DUMMYFUNCTION("""COMPUTED_VALUE"""),11319.33)</f>
        <v>11319.33</v>
      </c>
      <c r="I27" s="34" t="str">
        <f>IFERROR(__xludf.DUMMYFUNCTION("""COMPUTED_VALUE"""),"")</f>
        <v/>
      </c>
      <c r="J27" s="34">
        <f>IFERROR(__xludf.DUMMYFUNCTION("""COMPUTED_VALUE"""),1131.93)</f>
        <v>1131.93</v>
      </c>
      <c r="K27" s="36">
        <f>IFERROR(__xludf.DUMMYFUNCTION("""COMPUTED_VALUE"""),0.0)</f>
        <v>0</v>
      </c>
      <c r="L27" s="37" t="b">
        <v>0</v>
      </c>
      <c r="M27" s="28"/>
    </row>
    <row r="28">
      <c r="A28" s="32">
        <f>IFERROR(__xludf.DUMMYFUNCTION("""COMPUTED_VALUE"""),2.0255073E7)</f>
        <v>20255073</v>
      </c>
      <c r="B28" s="32" t="str">
        <f>IFERROR(__xludf.DUMMYFUNCTION("""COMPUTED_VALUE"""),"Chris Falkowski - Master Bath")</f>
        <v>Chris Falkowski - Master Bath</v>
      </c>
      <c r="C28" s="33" t="b">
        <f>IFERROR(__xludf.DUMMYFUNCTION("""COMPUTED_VALUE"""),TRUE)</f>
        <v>1</v>
      </c>
      <c r="D28" s="39">
        <f>IFERROR(__xludf.DUMMYFUNCTION("""COMPUTED_VALUE"""),0.3108753112492994)</f>
        <v>0.3108753112</v>
      </c>
      <c r="E28" s="34">
        <f>IFERROR(__xludf.DUMMYFUNCTION("""COMPUTED_VALUE"""),11843.8)</f>
        <v>11843.8</v>
      </c>
      <c r="F28" s="34">
        <f>IFERROR(__xludf.DUMMYFUNCTION("""COMPUTED_VALUE"""),429.3200000000015)</f>
        <v>429.32</v>
      </c>
      <c r="G28" s="34">
        <f>IFERROR(__xludf.DUMMYFUNCTION("""COMPUTED_VALUE"""),12273.12)</f>
        <v>12273.12</v>
      </c>
      <c r="H28" s="34">
        <f>IFERROR(__xludf.DUMMYFUNCTION("""COMPUTED_VALUE"""),12273.12)</f>
        <v>12273.12</v>
      </c>
      <c r="I28" s="34" t="str">
        <f>IFERROR(__xludf.DUMMYFUNCTION("""COMPUTED_VALUE"""),"")</f>
        <v/>
      </c>
      <c r="J28" s="34">
        <f>IFERROR(__xludf.DUMMYFUNCTION("""COMPUTED_VALUE"""),1227.31)</f>
        <v>1227.31</v>
      </c>
      <c r="K28" s="36">
        <f>IFERROR(__xludf.DUMMYFUNCTION("""COMPUTED_VALUE"""),0.0)</f>
        <v>0</v>
      </c>
      <c r="L28" s="37" t="b">
        <v>0</v>
      </c>
      <c r="M28" s="28"/>
    </row>
    <row r="29">
      <c r="A29" s="32">
        <f>IFERROR(__xludf.DUMMYFUNCTION("""COMPUTED_VALUE"""),2.0255077E7)</f>
        <v>20255077</v>
      </c>
      <c r="B29" s="32" t="str">
        <f>IFERROR(__xludf.DUMMYFUNCTION("""COMPUTED_VALUE"""),"Stacey Kinnison")</f>
        <v>Stacey Kinnison</v>
      </c>
      <c r="C29" s="33" t="b">
        <f>IFERROR(__xludf.DUMMYFUNCTION("""COMPUTED_VALUE"""),TRUE)</f>
        <v>1</v>
      </c>
      <c r="D29" s="33">
        <f>IFERROR(__xludf.DUMMYFUNCTION("""COMPUTED_VALUE"""),0.38097509963519305)</f>
        <v>0.3809750996</v>
      </c>
      <c r="E29" s="34">
        <f>IFERROR(__xludf.DUMMYFUNCTION("""COMPUTED_VALUE"""),13030.3)</f>
        <v>13030.3</v>
      </c>
      <c r="F29" s="34">
        <f>IFERROR(__xludf.DUMMYFUNCTION("""COMPUTED_VALUE"""),1495.1900000000005)</f>
        <v>1495.19</v>
      </c>
      <c r="G29" s="34">
        <f>IFERROR(__xludf.DUMMYFUNCTION("""COMPUTED_VALUE"""),14525.49)</f>
        <v>14525.49</v>
      </c>
      <c r="H29" s="34">
        <f>IFERROR(__xludf.DUMMYFUNCTION("""COMPUTED_VALUE"""),14525.49)</f>
        <v>14525.49</v>
      </c>
      <c r="I29" s="34" t="str">
        <f>IFERROR(__xludf.DUMMYFUNCTION("""COMPUTED_VALUE"""),"")</f>
        <v/>
      </c>
      <c r="J29" s="34">
        <f>IFERROR(__xludf.DUMMYFUNCTION("""COMPUTED_VALUE"""),1452.55)</f>
        <v>1452.55</v>
      </c>
      <c r="K29" s="36">
        <f>IFERROR(__xludf.DUMMYFUNCTION("""COMPUTED_VALUE"""),0.0)</f>
        <v>0</v>
      </c>
      <c r="L29" s="37" t="b">
        <v>0</v>
      </c>
      <c r="M29" s="28"/>
    </row>
    <row r="30">
      <c r="A30" s="32">
        <f>IFERROR(__xludf.DUMMYFUNCTION("""COMPUTED_VALUE"""),2.0255082E7)</f>
        <v>20255082</v>
      </c>
      <c r="B30" s="32" t="str">
        <f>IFERROR(__xludf.DUMMYFUNCTION("""COMPUTED_VALUE"""),"Chris Kelly")</f>
        <v>Chris Kelly</v>
      </c>
      <c r="C30" s="32" t="b">
        <f>IFERROR(__xludf.DUMMYFUNCTION("""COMPUTED_VALUE"""),TRUE)</f>
        <v>1</v>
      </c>
      <c r="D30" s="33">
        <f>IFERROR(__xludf.DUMMYFUNCTION("""COMPUTED_VALUE"""),0.3778167358251886)</f>
        <v>0.3778167358</v>
      </c>
      <c r="E30" s="34">
        <f>IFERROR(__xludf.DUMMYFUNCTION("""COMPUTED_VALUE"""),34900.0)</f>
        <v>34900</v>
      </c>
      <c r="F30" s="34">
        <f>IFERROR(__xludf.DUMMYFUNCTION("""COMPUTED_VALUE"""),5439.690000000002)</f>
        <v>5439.69</v>
      </c>
      <c r="G30" s="34">
        <f>IFERROR(__xludf.DUMMYFUNCTION("""COMPUTED_VALUE"""),40439.69)</f>
        <v>40439.69</v>
      </c>
      <c r="H30" s="34">
        <f>IFERROR(__xludf.DUMMYFUNCTION("""COMPUTED_VALUE"""),40339.69)</f>
        <v>40339.69</v>
      </c>
      <c r="I30" s="34" t="str">
        <f>IFERROR(__xludf.DUMMYFUNCTION("""COMPUTED_VALUE"""),"")</f>
        <v/>
      </c>
      <c r="J30" s="34">
        <f>IFERROR(__xludf.DUMMYFUNCTION("""COMPUTED_VALUE"""),4043.97)</f>
        <v>4043.97</v>
      </c>
      <c r="K30" s="36">
        <f>IFERROR(__xludf.DUMMYFUNCTION("""COMPUTED_VALUE"""),0.0)</f>
        <v>0</v>
      </c>
      <c r="L30" s="37" t="b">
        <v>0</v>
      </c>
      <c r="M30" s="28"/>
    </row>
    <row r="31">
      <c r="A31" s="32">
        <f>IFERROR(__xludf.DUMMYFUNCTION("""COMPUTED_VALUE"""),2.0255086E7)</f>
        <v>20255086</v>
      </c>
      <c r="B31" s="32" t="str">
        <f>IFERROR(__xludf.DUMMYFUNCTION("""COMPUTED_VALUE"""),"Joanne Stocksdale")</f>
        <v>Joanne Stocksdale</v>
      </c>
      <c r="C31" s="33" t="b">
        <f>IFERROR(__xludf.DUMMYFUNCTION("""COMPUTED_VALUE"""),TRUE)</f>
        <v>1</v>
      </c>
      <c r="D31" s="33">
        <f>IFERROR(__xludf.DUMMYFUNCTION("""COMPUTED_VALUE"""),0.3864210180345951)</f>
        <v>0.386421018</v>
      </c>
      <c r="E31" s="34">
        <f>IFERROR(__xludf.DUMMYFUNCTION("""COMPUTED_VALUE"""),15954.68)</f>
        <v>15954.68</v>
      </c>
      <c r="F31" s="34">
        <f>IFERROR(__xludf.DUMMYFUNCTION("""COMPUTED_VALUE"""),110.0)</f>
        <v>110</v>
      </c>
      <c r="G31" s="34">
        <f>IFERROR(__xludf.DUMMYFUNCTION("""COMPUTED_VALUE"""),16064.68)</f>
        <v>16064.68</v>
      </c>
      <c r="H31" s="34">
        <f>IFERROR(__xludf.DUMMYFUNCTION("""COMPUTED_VALUE"""),16064.68)</f>
        <v>16064.68</v>
      </c>
      <c r="I31" s="34" t="str">
        <f>IFERROR(__xludf.DUMMYFUNCTION("""COMPUTED_VALUE"""),"")</f>
        <v/>
      </c>
      <c r="J31" s="34">
        <f>IFERROR(__xludf.DUMMYFUNCTION("""COMPUTED_VALUE"""),1606.47)</f>
        <v>1606.47</v>
      </c>
      <c r="K31" s="36">
        <f>IFERROR(__xludf.DUMMYFUNCTION("""COMPUTED_VALUE"""),0.0)</f>
        <v>0</v>
      </c>
      <c r="L31" s="37" t="b">
        <v>0</v>
      </c>
      <c r="M31" s="28"/>
    </row>
    <row r="32">
      <c r="A32" s="32">
        <f>IFERROR(__xludf.DUMMYFUNCTION("""COMPUTED_VALUE"""),2.025509E7)</f>
        <v>20255090</v>
      </c>
      <c r="B32" s="32" t="str">
        <f>IFERROR(__xludf.DUMMYFUNCTION("""COMPUTED_VALUE"""),"Scott Earhart")</f>
        <v>Scott Earhart</v>
      </c>
      <c r="C32" s="33" t="b">
        <f>IFERROR(__xludf.DUMMYFUNCTION("""COMPUTED_VALUE"""),TRUE)</f>
        <v>1</v>
      </c>
      <c r="D32" s="33">
        <f>IFERROR(__xludf.DUMMYFUNCTION("""COMPUTED_VALUE"""),0.5397406836050678)</f>
        <v>0.5397406836</v>
      </c>
      <c r="E32" s="34">
        <f>IFERROR(__xludf.DUMMYFUNCTION("""COMPUTED_VALUE"""),11544.97)</f>
        <v>11544.97</v>
      </c>
      <c r="F32" s="34">
        <f>IFERROR(__xludf.DUMMYFUNCTION("""COMPUTED_VALUE"""),0.0)</f>
        <v>0</v>
      </c>
      <c r="G32" s="34">
        <f>IFERROR(__xludf.DUMMYFUNCTION("""COMPUTED_VALUE"""),11544.97)</f>
        <v>11544.97</v>
      </c>
      <c r="H32" s="34">
        <f>IFERROR(__xludf.DUMMYFUNCTION("""COMPUTED_VALUE"""),11544.97)</f>
        <v>11544.97</v>
      </c>
      <c r="I32" s="34" t="str">
        <f>IFERROR(__xludf.DUMMYFUNCTION("""COMPUTED_VALUE"""),"")</f>
        <v/>
      </c>
      <c r="J32" s="34">
        <f>IFERROR(__xludf.DUMMYFUNCTION("""COMPUTED_VALUE"""),1154.5)</f>
        <v>1154.5</v>
      </c>
      <c r="K32" s="36">
        <f>IFERROR(__xludf.DUMMYFUNCTION("""COMPUTED_VALUE"""),0.0)</f>
        <v>0</v>
      </c>
      <c r="L32" s="37" t="b">
        <v>0</v>
      </c>
      <c r="M32" s="28"/>
    </row>
    <row r="33">
      <c r="A33" s="32">
        <f>IFERROR(__xludf.DUMMYFUNCTION("""COMPUTED_VALUE"""),2.0255095E7)</f>
        <v>20255095</v>
      </c>
      <c r="B33" s="32" t="str">
        <f>IFERROR(__xludf.DUMMYFUNCTION("""COMPUTED_VALUE"""),"Carlene McNamara")</f>
        <v>Carlene McNamara</v>
      </c>
      <c r="C33" s="32" t="b">
        <f>IFERROR(__xludf.DUMMYFUNCTION("""COMPUTED_VALUE"""),TRUE)</f>
        <v>1</v>
      </c>
      <c r="D33" s="33">
        <f>IFERROR(__xludf.DUMMYFUNCTION("""COMPUTED_VALUE"""),0.5701735068788465)</f>
        <v>0.5701735069</v>
      </c>
      <c r="E33" s="34">
        <f>IFERROR(__xludf.DUMMYFUNCTION("""COMPUTED_VALUE"""),862.79)</f>
        <v>862.79</v>
      </c>
      <c r="F33" s="34">
        <f>IFERROR(__xludf.DUMMYFUNCTION("""COMPUTED_VALUE"""),0.0)</f>
        <v>0</v>
      </c>
      <c r="G33" s="34">
        <f>IFERROR(__xludf.DUMMYFUNCTION("""COMPUTED_VALUE"""),862.79)</f>
        <v>862.79</v>
      </c>
      <c r="H33" s="34">
        <f>IFERROR(__xludf.DUMMYFUNCTION("""COMPUTED_VALUE"""),862.79)</f>
        <v>862.79</v>
      </c>
      <c r="I33" s="34" t="str">
        <f>IFERROR(__xludf.DUMMYFUNCTION("""COMPUTED_VALUE"""),"")</f>
        <v/>
      </c>
      <c r="J33" s="34">
        <f>IFERROR(__xludf.DUMMYFUNCTION("""COMPUTED_VALUE"""),0.0)</f>
        <v>0</v>
      </c>
      <c r="K33" s="34">
        <f>IFERROR(__xludf.DUMMYFUNCTION("""COMPUTED_VALUE"""),0.0)</f>
        <v>0</v>
      </c>
      <c r="L33" s="37" t="b">
        <v>0</v>
      </c>
      <c r="M33" s="28"/>
    </row>
    <row r="34">
      <c r="A34" s="32">
        <f>IFERROR(__xludf.DUMMYFUNCTION("""COMPUTED_VALUE"""),2.0255103E7)</f>
        <v>20255103</v>
      </c>
      <c r="B34" s="32" t="str">
        <f>IFERROR(__xludf.DUMMYFUNCTION("""COMPUTED_VALUE"""),"Matt Veryser")</f>
        <v>Matt Veryser</v>
      </c>
      <c r="C34" s="32" t="b">
        <f>IFERROR(__xludf.DUMMYFUNCTION("""COMPUTED_VALUE"""),TRUE)</f>
        <v>1</v>
      </c>
      <c r="D34" s="33">
        <f>IFERROR(__xludf.DUMMYFUNCTION("""COMPUTED_VALUE"""),0.5281807474223753)</f>
        <v>0.5281807474</v>
      </c>
      <c r="E34" s="34">
        <f>IFERROR(__xludf.DUMMYFUNCTION("""COMPUTED_VALUE"""),5857.35)</f>
        <v>5857.35</v>
      </c>
      <c r="F34" s="34">
        <f>IFERROR(__xludf.DUMMYFUNCTION("""COMPUTED_VALUE"""),900.8099999999995)</f>
        <v>900.81</v>
      </c>
      <c r="G34" s="34">
        <f>IFERROR(__xludf.DUMMYFUNCTION("""COMPUTED_VALUE"""),6758.16)</f>
        <v>6758.16</v>
      </c>
      <c r="H34" s="34">
        <f>IFERROR(__xludf.DUMMYFUNCTION("""COMPUTED_VALUE"""),6758.16)</f>
        <v>6758.16</v>
      </c>
      <c r="I34" s="34" t="str">
        <f>IFERROR(__xludf.DUMMYFUNCTION("""COMPUTED_VALUE"""),"")</f>
        <v/>
      </c>
      <c r="J34" s="34">
        <f>IFERROR(__xludf.DUMMYFUNCTION("""COMPUTED_VALUE"""),675.82)</f>
        <v>675.82</v>
      </c>
      <c r="K34" s="36">
        <f>IFERROR(__xludf.DUMMYFUNCTION("""COMPUTED_VALUE"""),0.0)</f>
        <v>0</v>
      </c>
      <c r="L34" s="37" t="b">
        <v>0</v>
      </c>
      <c r="M34" s="28"/>
    </row>
    <row r="35">
      <c r="A35" s="32">
        <f>IFERROR(__xludf.DUMMYFUNCTION("""COMPUTED_VALUE"""),2.0255105E7)</f>
        <v>20255105</v>
      </c>
      <c r="B35" s="32" t="str">
        <f>IFERROR(__xludf.DUMMYFUNCTION("""COMPUTED_VALUE"""),"Philip Osterholt")</f>
        <v>Philip Osterholt</v>
      </c>
      <c r="C35" s="32" t="b">
        <f>IFERROR(__xludf.DUMMYFUNCTION("""COMPUTED_VALUE"""),TRUE)</f>
        <v>1</v>
      </c>
      <c r="D35" s="33">
        <f>IFERROR(__xludf.DUMMYFUNCTION("""COMPUTED_VALUE"""),0.4259735805501588)</f>
        <v>0.4259735806</v>
      </c>
      <c r="E35" s="34">
        <f>IFERROR(__xludf.DUMMYFUNCTION("""COMPUTED_VALUE"""),36638.57)</f>
        <v>36638.57</v>
      </c>
      <c r="F35" s="34">
        <f>IFERROR(__xludf.DUMMYFUNCTION("""COMPUTED_VALUE"""),2314.550000000003)</f>
        <v>2314.55</v>
      </c>
      <c r="G35" s="34">
        <f>IFERROR(__xludf.DUMMYFUNCTION("""COMPUTED_VALUE"""),38953.12)</f>
        <v>38953.12</v>
      </c>
      <c r="H35" s="34">
        <f>IFERROR(__xludf.DUMMYFUNCTION("""COMPUTED_VALUE"""),38953.12)</f>
        <v>38953.12</v>
      </c>
      <c r="I35" s="34" t="str">
        <f>IFERROR(__xludf.DUMMYFUNCTION("""COMPUTED_VALUE"""),"")</f>
        <v/>
      </c>
      <c r="J35" s="34">
        <f>IFERROR(__xludf.DUMMYFUNCTION("""COMPUTED_VALUE"""),4101.37)</f>
        <v>4101.37</v>
      </c>
      <c r="K35" s="36">
        <f>IFERROR(__xludf.DUMMYFUNCTION("""COMPUTED_VALUE"""),0.0)</f>
        <v>0</v>
      </c>
      <c r="L35" s="37" t="b">
        <v>0</v>
      </c>
      <c r="M35" s="28"/>
    </row>
    <row r="36">
      <c r="A36" s="41">
        <f>IFERROR(__xludf.DUMMYFUNCTION("""COMPUTED_VALUE"""),2.025511E7)</f>
        <v>20255110</v>
      </c>
      <c r="B36" s="41" t="str">
        <f>IFERROR(__xludf.DUMMYFUNCTION("""COMPUTED_VALUE"""),"HBC - Prenger")</f>
        <v>HBC - Prenger</v>
      </c>
      <c r="C36" s="42" t="b">
        <f>IFERROR(__xludf.DUMMYFUNCTION("""COMPUTED_VALUE"""),FALSE)</f>
        <v>0</v>
      </c>
      <c r="D36" s="42" t="str">
        <f>IFERROR(__xludf.DUMMYFUNCTION("""COMPUTED_VALUE"""),"")</f>
        <v/>
      </c>
      <c r="E36" s="43">
        <f>IFERROR(__xludf.DUMMYFUNCTION("""COMPUTED_VALUE"""),21242.28)</f>
        <v>21242.28</v>
      </c>
      <c r="F36" s="43">
        <f>IFERROR(__xludf.DUMMYFUNCTION("""COMPUTED_VALUE"""),0.0)</f>
        <v>0</v>
      </c>
      <c r="G36" s="43">
        <f>IFERROR(__xludf.DUMMYFUNCTION("""COMPUTED_VALUE"""),0.0)</f>
        <v>0</v>
      </c>
      <c r="H36" s="43">
        <f>IFERROR(__xludf.DUMMYFUNCTION("""COMPUTED_VALUE"""),0.0)</f>
        <v>0</v>
      </c>
      <c r="I36" s="43" t="str">
        <f>IFERROR(__xludf.DUMMYFUNCTION("""COMPUTED_VALUE"""),"")</f>
        <v/>
      </c>
      <c r="J36" s="43">
        <f>IFERROR(__xludf.DUMMYFUNCTION("""COMPUTED_VALUE"""),0.0)</f>
        <v>0</v>
      </c>
      <c r="K36" s="45">
        <f>IFERROR(__xludf.DUMMYFUNCTION("""COMPUTED_VALUE"""),0.0)</f>
        <v>0</v>
      </c>
      <c r="L36" s="46" t="b">
        <v>0</v>
      </c>
      <c r="M36" s="28"/>
    </row>
    <row r="37">
      <c r="A37" s="32">
        <f>IFERROR(__xludf.DUMMYFUNCTION("""COMPUTED_VALUE"""),2.0255112E7)</f>
        <v>20255112</v>
      </c>
      <c r="B37" s="32" t="str">
        <f>IFERROR(__xludf.DUMMYFUNCTION("""COMPUTED_VALUE"""),"Tom Bucher")</f>
        <v>Tom Bucher</v>
      </c>
      <c r="C37" s="32" t="b">
        <f>IFERROR(__xludf.DUMMYFUNCTION("""COMPUTED_VALUE"""),TRUE)</f>
        <v>1</v>
      </c>
      <c r="D37" s="33">
        <f>IFERROR(__xludf.DUMMYFUNCTION("""COMPUTED_VALUE"""),0.42053665612306523)</f>
        <v>0.4205366561</v>
      </c>
      <c r="E37" s="34">
        <f>IFERROR(__xludf.DUMMYFUNCTION("""COMPUTED_VALUE"""),13395.17)</f>
        <v>13395.17</v>
      </c>
      <c r="F37" s="34">
        <f>IFERROR(__xludf.DUMMYFUNCTION("""COMPUTED_VALUE"""),0.0)</f>
        <v>0</v>
      </c>
      <c r="G37" s="34">
        <f>IFERROR(__xludf.DUMMYFUNCTION("""COMPUTED_VALUE"""),13395.17)</f>
        <v>13395.17</v>
      </c>
      <c r="H37" s="34">
        <f>IFERROR(__xludf.DUMMYFUNCTION("""COMPUTED_VALUE"""),13395.17)</f>
        <v>13395.17</v>
      </c>
      <c r="I37" s="34" t="str">
        <f>IFERROR(__xludf.DUMMYFUNCTION("""COMPUTED_VALUE"""),"")</f>
        <v/>
      </c>
      <c r="J37" s="34">
        <f>IFERROR(__xludf.DUMMYFUNCTION("""COMPUTED_VALUE"""),1339.52)</f>
        <v>1339.52</v>
      </c>
      <c r="K37" s="36">
        <f>IFERROR(__xludf.DUMMYFUNCTION("""COMPUTED_VALUE"""),0.0)</f>
        <v>0</v>
      </c>
      <c r="L37" s="37" t="b">
        <v>0</v>
      </c>
      <c r="M37" s="28"/>
    </row>
    <row r="38">
      <c r="A38" s="32">
        <f>IFERROR(__xludf.DUMMYFUNCTION("""COMPUTED_VALUE"""),2.0255115E7)</f>
        <v>20255115</v>
      </c>
      <c r="B38" s="32" t="str">
        <f>IFERROR(__xludf.DUMMYFUNCTION("""COMPUTED_VALUE"""),"Cortney Frazee")</f>
        <v>Cortney Frazee</v>
      </c>
      <c r="C38" s="32" t="b">
        <f>IFERROR(__xludf.DUMMYFUNCTION("""COMPUTED_VALUE"""),TRUE)</f>
        <v>1</v>
      </c>
      <c r="D38" s="33">
        <f>IFERROR(__xludf.DUMMYFUNCTION("""COMPUTED_VALUE"""),0.45787083487544983)</f>
        <v>0.4578708349</v>
      </c>
      <c r="E38" s="34">
        <f>IFERROR(__xludf.DUMMYFUNCTION("""COMPUTED_VALUE"""),27940.01)</f>
        <v>27940.01</v>
      </c>
      <c r="F38" s="34">
        <f>IFERROR(__xludf.DUMMYFUNCTION("""COMPUTED_VALUE"""),-461.53999999999724)</f>
        <v>-461.54</v>
      </c>
      <c r="G38" s="34">
        <f>IFERROR(__xludf.DUMMYFUNCTION("""COMPUTED_VALUE"""),27478.47)</f>
        <v>27478.47</v>
      </c>
      <c r="H38" s="34">
        <f>IFERROR(__xludf.DUMMYFUNCTION("""COMPUTED_VALUE"""),27478.47)</f>
        <v>27478.47</v>
      </c>
      <c r="I38" s="34" t="str">
        <f>IFERROR(__xludf.DUMMYFUNCTION("""COMPUTED_VALUE"""),"")</f>
        <v/>
      </c>
      <c r="J38" s="34">
        <f>IFERROR(__xludf.DUMMYFUNCTION("""COMPUTED_VALUE"""),2747.85)</f>
        <v>2747.85</v>
      </c>
      <c r="K38" s="34">
        <f>IFERROR(__xludf.DUMMYFUNCTION("""COMPUTED_VALUE"""),0.0)</f>
        <v>0</v>
      </c>
      <c r="L38" s="32" t="b">
        <v>0</v>
      </c>
      <c r="M38" s="28"/>
    </row>
    <row r="39">
      <c r="A39" s="41">
        <f>IFERROR(__xludf.DUMMYFUNCTION("""COMPUTED_VALUE"""),2.0255122E7)</f>
        <v>20255122</v>
      </c>
      <c r="B39" s="41" t="str">
        <f>IFERROR(__xludf.DUMMYFUNCTION("""COMPUTED_VALUE"""),"James Zimmerman")</f>
        <v>James Zimmerman</v>
      </c>
      <c r="C39" s="42" t="b">
        <f>IFERROR(__xludf.DUMMYFUNCTION("""COMPUTED_VALUE"""),FALSE)</f>
        <v>0</v>
      </c>
      <c r="D39" s="42" t="str">
        <f>IFERROR(__xludf.DUMMYFUNCTION("""COMPUTED_VALUE"""),"")</f>
        <v/>
      </c>
      <c r="E39" s="43">
        <f>IFERROR(__xludf.DUMMYFUNCTION("""COMPUTED_VALUE"""),3515.26)</f>
        <v>3515.26</v>
      </c>
      <c r="F39" s="43">
        <f>IFERROR(__xludf.DUMMYFUNCTION("""COMPUTED_VALUE"""),0.0)</f>
        <v>0</v>
      </c>
      <c r="G39" s="43">
        <f>IFERROR(__xludf.DUMMYFUNCTION("""COMPUTED_VALUE"""),0.0)</f>
        <v>0</v>
      </c>
      <c r="H39" s="43">
        <f>IFERROR(__xludf.DUMMYFUNCTION("""COMPUTED_VALUE"""),0.0)</f>
        <v>0</v>
      </c>
      <c r="I39" s="43" t="str">
        <f>IFERROR(__xludf.DUMMYFUNCTION("""COMPUTED_VALUE"""),"")</f>
        <v/>
      </c>
      <c r="J39" s="43">
        <f>IFERROR(__xludf.DUMMYFUNCTION("""COMPUTED_VALUE"""),0.0)</f>
        <v>0</v>
      </c>
      <c r="K39" s="45">
        <f>IFERROR(__xludf.DUMMYFUNCTION("""COMPUTED_VALUE"""),0.0)</f>
        <v>0</v>
      </c>
      <c r="L39" s="46" t="b">
        <v>0</v>
      </c>
      <c r="M39" s="28"/>
    </row>
    <row r="40">
      <c r="A40" s="32">
        <f>IFERROR(__xludf.DUMMYFUNCTION("""COMPUTED_VALUE"""),2.0255123E7)</f>
        <v>20255123</v>
      </c>
      <c r="B40" s="32" t="str">
        <f>IFERROR(__xludf.DUMMYFUNCTION("""COMPUTED_VALUE"""),"Austan  Good")</f>
        <v>Austan  Good</v>
      </c>
      <c r="C40" s="32" t="b">
        <f>IFERROR(__xludf.DUMMYFUNCTION("""COMPUTED_VALUE"""),TRUE)</f>
        <v>1</v>
      </c>
      <c r="D40" s="33">
        <f>IFERROR(__xludf.DUMMYFUNCTION("""COMPUTED_VALUE"""),0.5411271714118845)</f>
        <v>0.5411271714</v>
      </c>
      <c r="E40" s="34">
        <f>IFERROR(__xludf.DUMMYFUNCTION("""COMPUTED_VALUE"""),3133.33)</f>
        <v>3133.33</v>
      </c>
      <c r="F40" s="34">
        <f>IFERROR(__xludf.DUMMYFUNCTION("""COMPUTED_VALUE"""),0.0)</f>
        <v>0</v>
      </c>
      <c r="G40" s="34">
        <f>IFERROR(__xludf.DUMMYFUNCTION("""COMPUTED_VALUE"""),3133.33)</f>
        <v>3133.33</v>
      </c>
      <c r="H40" s="34">
        <f>IFERROR(__xludf.DUMMYFUNCTION("""COMPUTED_VALUE"""),3133.33)</f>
        <v>3133.33</v>
      </c>
      <c r="I40" s="34" t="str">
        <f>IFERROR(__xludf.DUMMYFUNCTION("""COMPUTED_VALUE"""),"")</f>
        <v/>
      </c>
      <c r="J40" s="34">
        <f>IFERROR(__xludf.DUMMYFUNCTION("""COMPUTED_VALUE"""),313.33)</f>
        <v>313.33</v>
      </c>
      <c r="K40" s="34">
        <f>IFERROR(__xludf.DUMMYFUNCTION("""COMPUTED_VALUE"""),0.0)</f>
        <v>0</v>
      </c>
      <c r="L40" s="32" t="b">
        <v>0</v>
      </c>
      <c r="M40" s="28"/>
    </row>
    <row r="41">
      <c r="A41" s="32">
        <f>IFERROR(__xludf.DUMMYFUNCTION("""COMPUTED_VALUE"""),2.0255128E7)</f>
        <v>20255128</v>
      </c>
      <c r="B41" s="32" t="str">
        <f>IFERROR(__xludf.DUMMYFUNCTION("""COMPUTED_VALUE"""),"Oceana Massonneau")</f>
        <v>Oceana Massonneau</v>
      </c>
      <c r="C41" s="32" t="b">
        <f>IFERROR(__xludf.DUMMYFUNCTION("""COMPUTED_VALUE"""),TRUE)</f>
        <v>1</v>
      </c>
      <c r="D41" s="33">
        <f>IFERROR(__xludf.DUMMYFUNCTION("""COMPUTED_VALUE"""),0.4887859370344067)</f>
        <v>0.488785937</v>
      </c>
      <c r="E41" s="34">
        <f>IFERROR(__xludf.DUMMYFUNCTION("""COMPUTED_VALUE"""),28423.05)</f>
        <v>28423.05</v>
      </c>
      <c r="F41" s="34">
        <f>IFERROR(__xludf.DUMMYFUNCTION("""COMPUTED_VALUE"""),203.0600000000013)</f>
        <v>203.06</v>
      </c>
      <c r="G41" s="34">
        <f>IFERROR(__xludf.DUMMYFUNCTION("""COMPUTED_VALUE"""),28626.11)</f>
        <v>28626.11</v>
      </c>
      <c r="H41" s="34">
        <f>IFERROR(__xludf.DUMMYFUNCTION("""COMPUTED_VALUE"""),28626.11)</f>
        <v>28626.11</v>
      </c>
      <c r="I41" s="34" t="str">
        <f>IFERROR(__xludf.DUMMYFUNCTION("""COMPUTED_VALUE"""),"")</f>
        <v/>
      </c>
      <c r="J41" s="34">
        <f>IFERROR(__xludf.DUMMYFUNCTION("""COMPUTED_VALUE"""),2862.61)</f>
        <v>2862.61</v>
      </c>
      <c r="K41" s="36">
        <f>IFERROR(__xludf.DUMMYFUNCTION("""COMPUTED_VALUE"""),0.0)</f>
        <v>0</v>
      </c>
      <c r="L41" s="37" t="b">
        <v>0</v>
      </c>
      <c r="M41" s="28"/>
    </row>
    <row r="42">
      <c r="A42" s="32">
        <f>IFERROR(__xludf.DUMMYFUNCTION("""COMPUTED_VALUE"""),2.0255131E7)</f>
        <v>20255131</v>
      </c>
      <c r="B42" s="32" t="str">
        <f>IFERROR(__xludf.DUMMYFUNCTION("""COMPUTED_VALUE"""),"Steve Mascarella")</f>
        <v>Steve Mascarella</v>
      </c>
      <c r="C42" s="32" t="b">
        <f>IFERROR(__xludf.DUMMYFUNCTION("""COMPUTED_VALUE"""),TRUE)</f>
        <v>1</v>
      </c>
      <c r="D42" s="33">
        <f>IFERROR(__xludf.DUMMYFUNCTION("""COMPUTED_VALUE"""),0.4121596159885155)</f>
        <v>0.412159616</v>
      </c>
      <c r="E42" s="34">
        <f>IFERROR(__xludf.DUMMYFUNCTION("""COMPUTED_VALUE"""),13209.6)</f>
        <v>13209.6</v>
      </c>
      <c r="F42" s="34">
        <f>IFERROR(__xludf.DUMMYFUNCTION("""COMPUTED_VALUE"""),165.0)</f>
        <v>165</v>
      </c>
      <c r="G42" s="34">
        <f>IFERROR(__xludf.DUMMYFUNCTION("""COMPUTED_VALUE"""),13374.6)</f>
        <v>13374.6</v>
      </c>
      <c r="H42" s="34">
        <f>IFERROR(__xludf.DUMMYFUNCTION("""COMPUTED_VALUE"""),13374.6)</f>
        <v>13374.6</v>
      </c>
      <c r="I42" s="34" t="str">
        <f>IFERROR(__xludf.DUMMYFUNCTION("""COMPUTED_VALUE"""),"")</f>
        <v/>
      </c>
      <c r="J42" s="34">
        <f>IFERROR(__xludf.DUMMYFUNCTION("""COMPUTED_VALUE"""),1337.46)</f>
        <v>1337.46</v>
      </c>
      <c r="K42" s="34">
        <f>IFERROR(__xludf.DUMMYFUNCTION("""COMPUTED_VALUE"""),0.0)</f>
        <v>0</v>
      </c>
      <c r="L42" s="32" t="b">
        <v>0</v>
      </c>
      <c r="M42" s="28"/>
    </row>
    <row r="43">
      <c r="A43" s="32">
        <f>IFERROR(__xludf.DUMMYFUNCTION("""COMPUTED_VALUE"""),2.0255133E7)</f>
        <v>20255133</v>
      </c>
      <c r="B43" s="32" t="str">
        <f>IFERROR(__xludf.DUMMYFUNCTION("""COMPUTED_VALUE"""),"Jenna Kreitzer")</f>
        <v>Jenna Kreitzer</v>
      </c>
      <c r="C43" s="32" t="b">
        <f>IFERROR(__xludf.DUMMYFUNCTION("""COMPUTED_VALUE"""),TRUE)</f>
        <v>1</v>
      </c>
      <c r="D43" s="33">
        <f>IFERROR(__xludf.DUMMYFUNCTION("""COMPUTED_VALUE"""),0.38784433756012243)</f>
        <v>0.3878443376</v>
      </c>
      <c r="E43" s="34">
        <f>IFERROR(__xludf.DUMMYFUNCTION("""COMPUTED_VALUE"""),11685.0)</f>
        <v>11685</v>
      </c>
      <c r="F43" s="34">
        <f>IFERROR(__xludf.DUMMYFUNCTION("""COMPUTED_VALUE"""),-250.0)</f>
        <v>-250</v>
      </c>
      <c r="G43" s="34">
        <f>IFERROR(__xludf.DUMMYFUNCTION("""COMPUTED_VALUE"""),11435.0)</f>
        <v>11435</v>
      </c>
      <c r="H43" s="34">
        <f>IFERROR(__xludf.DUMMYFUNCTION("""COMPUTED_VALUE"""),11435.0)</f>
        <v>11435</v>
      </c>
      <c r="I43" s="34" t="str">
        <f>IFERROR(__xludf.DUMMYFUNCTION("""COMPUTED_VALUE"""),"")</f>
        <v/>
      </c>
      <c r="J43" s="34">
        <f>IFERROR(__xludf.DUMMYFUNCTION("""COMPUTED_VALUE"""),1143.5)</f>
        <v>1143.5</v>
      </c>
      <c r="K43" s="36">
        <f>IFERROR(__xludf.DUMMYFUNCTION("""COMPUTED_VALUE"""),0.0)</f>
        <v>0</v>
      </c>
      <c r="L43" s="37" t="b">
        <v>0</v>
      </c>
      <c r="M43" s="28"/>
    </row>
    <row r="44">
      <c r="A44" s="32">
        <f>IFERROR(__xludf.DUMMYFUNCTION("""COMPUTED_VALUE"""),2.0255138E7)</f>
        <v>20255138</v>
      </c>
      <c r="B44" s="32" t="str">
        <f>IFERROR(__xludf.DUMMYFUNCTION("""COMPUTED_VALUE"""),"INS - Becky Maggert")</f>
        <v>INS - Becky Maggert</v>
      </c>
      <c r="C44" s="32" t="b">
        <f>IFERROR(__xludf.DUMMYFUNCTION("""COMPUTED_VALUE"""),TRUE)</f>
        <v>1</v>
      </c>
      <c r="D44" s="33">
        <f>IFERROR(__xludf.DUMMYFUNCTION("""COMPUTED_VALUE"""),0.6787126104175809)</f>
        <v>0.6787126104</v>
      </c>
      <c r="E44" s="34">
        <f>IFERROR(__xludf.DUMMYFUNCTION("""COMPUTED_VALUE"""),15245.66)</f>
        <v>15245.66</v>
      </c>
      <c r="F44" s="34">
        <f>IFERROR(__xludf.DUMMYFUNCTION("""COMPUTED_VALUE"""),6539.820000000003)</f>
        <v>6539.82</v>
      </c>
      <c r="G44" s="34">
        <f>IFERROR(__xludf.DUMMYFUNCTION("""COMPUTED_VALUE"""),13031.37)</f>
        <v>13031.37</v>
      </c>
      <c r="H44" s="34">
        <f>IFERROR(__xludf.DUMMYFUNCTION("""COMPUTED_VALUE"""),21785.480000000003)</f>
        <v>21785.48</v>
      </c>
      <c r="I44" s="34" t="str">
        <f>IFERROR(__xludf.DUMMYFUNCTION("""COMPUTED_VALUE"""),"")</f>
        <v/>
      </c>
      <c r="J44" s="34">
        <f>IFERROR(__xludf.DUMMYFUNCTION("""COMPUTED_VALUE"""),2178.55)</f>
        <v>2178.55</v>
      </c>
      <c r="K44" s="36">
        <f>IFERROR(__xludf.DUMMYFUNCTION("""COMPUTED_VALUE"""),0.0)</f>
        <v>0</v>
      </c>
      <c r="L44" s="37" t="b">
        <v>0</v>
      </c>
      <c r="M44" s="28"/>
    </row>
    <row r="45">
      <c r="A45" s="32">
        <f>IFERROR(__xludf.DUMMYFUNCTION("""COMPUTED_VALUE"""),2.025514E7)</f>
        <v>20255140</v>
      </c>
      <c r="B45" s="32" t="str">
        <f>IFERROR(__xludf.DUMMYFUNCTION("""COMPUTED_VALUE"""),"INS - Melissa Clark")</f>
        <v>INS - Melissa Clark</v>
      </c>
      <c r="C45" s="32" t="b">
        <f>IFERROR(__xludf.DUMMYFUNCTION("""COMPUTED_VALUE"""),TRUE)</f>
        <v>1</v>
      </c>
      <c r="D45" s="33">
        <f>IFERROR(__xludf.DUMMYFUNCTION("""COMPUTED_VALUE"""),1.0)</f>
        <v>1</v>
      </c>
      <c r="E45" s="34">
        <f>IFERROR(__xludf.DUMMYFUNCTION("""COMPUTED_VALUE"""),0.0)</f>
        <v>0</v>
      </c>
      <c r="F45" s="34">
        <f>IFERROR(__xludf.DUMMYFUNCTION("""COMPUTED_VALUE"""),1495.0)</f>
        <v>1495</v>
      </c>
      <c r="G45" s="34">
        <f>IFERROR(__xludf.DUMMYFUNCTION("""COMPUTED_VALUE"""),1495.0)</f>
        <v>1495</v>
      </c>
      <c r="H45" s="34">
        <f>IFERROR(__xludf.DUMMYFUNCTION("""COMPUTED_VALUE"""),1495.0)</f>
        <v>1495</v>
      </c>
      <c r="I45" s="34" t="str">
        <f>IFERROR(__xludf.DUMMYFUNCTION("""COMPUTED_VALUE"""),"")</f>
        <v/>
      </c>
      <c r="J45" s="34">
        <f>IFERROR(__xludf.DUMMYFUNCTION("""COMPUTED_VALUE"""),149.5)</f>
        <v>149.5</v>
      </c>
      <c r="K45" s="34">
        <f>IFERROR(__xludf.DUMMYFUNCTION("""COMPUTED_VALUE"""),0.0)</f>
        <v>0</v>
      </c>
      <c r="L45" s="32" t="b">
        <v>0</v>
      </c>
      <c r="M45" s="28"/>
    </row>
    <row r="46">
      <c r="A46" s="32">
        <f>IFERROR(__xludf.DUMMYFUNCTION("""COMPUTED_VALUE"""),2.0255152E7)</f>
        <v>20255152</v>
      </c>
      <c r="B46" s="32" t="str">
        <f>IFERROR(__xludf.DUMMYFUNCTION("""COMPUTED_VALUE"""),"Gail Sowers")</f>
        <v>Gail Sowers</v>
      </c>
      <c r="C46" s="32" t="b">
        <f>IFERROR(__xludf.DUMMYFUNCTION("""COMPUTED_VALUE"""),TRUE)</f>
        <v>1</v>
      </c>
      <c r="D46" s="33">
        <f>IFERROR(__xludf.DUMMYFUNCTION("""COMPUTED_VALUE"""),0.37537161085646453)</f>
        <v>0.3753716109</v>
      </c>
      <c r="E46" s="34">
        <f>IFERROR(__xludf.DUMMYFUNCTION("""COMPUTED_VALUE"""),20581.48)</f>
        <v>20581.48</v>
      </c>
      <c r="F46" s="34">
        <f>IFERROR(__xludf.DUMMYFUNCTION("""COMPUTED_VALUE"""),2265.0)</f>
        <v>2265</v>
      </c>
      <c r="G46" s="34">
        <f>IFERROR(__xludf.DUMMYFUNCTION("""COMPUTED_VALUE"""),18615.71)</f>
        <v>18615.71</v>
      </c>
      <c r="H46" s="34">
        <f>IFERROR(__xludf.DUMMYFUNCTION("""COMPUTED_VALUE"""),22846.48)</f>
        <v>22846.48</v>
      </c>
      <c r="I46" s="34" t="str">
        <f>IFERROR(__xludf.DUMMYFUNCTION("""COMPUTED_VALUE"""),"")</f>
        <v/>
      </c>
      <c r="J46" s="34">
        <f>IFERROR(__xludf.DUMMYFUNCTION("""COMPUTED_VALUE"""),1861.57)</f>
        <v>1861.57</v>
      </c>
      <c r="K46" s="36">
        <f>IFERROR(__xludf.DUMMYFUNCTION("""COMPUTED_VALUE"""),0.0)</f>
        <v>0</v>
      </c>
      <c r="L46" s="37" t="b">
        <v>0</v>
      </c>
      <c r="M46" s="28"/>
    </row>
    <row r="47">
      <c r="A47" s="32">
        <f>IFERROR(__xludf.DUMMYFUNCTION("""COMPUTED_VALUE"""),2.0255156E7)</f>
        <v>20255156</v>
      </c>
      <c r="B47" s="32" t="str">
        <f>IFERROR(__xludf.DUMMYFUNCTION("""COMPUTED_VALUE"""),"Donald Mcghee")</f>
        <v>Donald Mcghee</v>
      </c>
      <c r="C47" s="32" t="b">
        <f>IFERROR(__xludf.DUMMYFUNCTION("""COMPUTED_VALUE"""),TRUE)</f>
        <v>1</v>
      </c>
      <c r="D47" s="33">
        <f>IFERROR(__xludf.DUMMYFUNCTION("""COMPUTED_VALUE"""),0.36456302033880233)</f>
        <v>0.3645630203</v>
      </c>
      <c r="E47" s="34">
        <f>IFERROR(__xludf.DUMMYFUNCTION("""COMPUTED_VALUE"""),17630.3399999999)</f>
        <v>17630.34</v>
      </c>
      <c r="F47" s="34">
        <f>IFERROR(__xludf.DUMMYFUNCTION("""COMPUTED_VALUE"""),1.0186340659856796E-10)</f>
        <v>0.0000000001018634066</v>
      </c>
      <c r="G47" s="34">
        <f>IFERROR(__xludf.DUMMYFUNCTION("""COMPUTED_VALUE"""),17630.34)</f>
        <v>17630.34</v>
      </c>
      <c r="H47" s="34">
        <f>IFERROR(__xludf.DUMMYFUNCTION("""COMPUTED_VALUE"""),17630.34)</f>
        <v>17630.34</v>
      </c>
      <c r="I47" s="34" t="str">
        <f>IFERROR(__xludf.DUMMYFUNCTION("""COMPUTED_VALUE"""),"")</f>
        <v/>
      </c>
      <c r="J47" s="34">
        <f>IFERROR(__xludf.DUMMYFUNCTION("""COMPUTED_VALUE"""),1763.03)</f>
        <v>1763.03</v>
      </c>
      <c r="K47" s="36">
        <f>IFERROR(__xludf.DUMMYFUNCTION("""COMPUTED_VALUE"""),0.0)</f>
        <v>0</v>
      </c>
      <c r="L47" s="37" t="b">
        <v>0</v>
      </c>
      <c r="M47" s="28"/>
    </row>
    <row r="48">
      <c r="A48" s="32">
        <f>IFERROR(__xludf.DUMMYFUNCTION("""COMPUTED_VALUE"""),2.0255157E7)</f>
        <v>20255157</v>
      </c>
      <c r="B48" s="32" t="str">
        <f>IFERROR(__xludf.DUMMYFUNCTION("""COMPUTED_VALUE"""),"Barn Gutters - Jared Huelsman")</f>
        <v>Barn Gutters - Jared Huelsman</v>
      </c>
      <c r="C48" s="32" t="b">
        <f>IFERROR(__xludf.DUMMYFUNCTION("""COMPUTED_VALUE"""),TRUE)</f>
        <v>1</v>
      </c>
      <c r="D48" s="33">
        <f>IFERROR(__xludf.DUMMYFUNCTION("""COMPUTED_VALUE"""),0.7157138394251796)</f>
        <v>0.7157138394</v>
      </c>
      <c r="E48" s="34">
        <f>IFERROR(__xludf.DUMMYFUNCTION("""COMPUTED_VALUE"""),3201.0)</f>
        <v>3201</v>
      </c>
      <c r="F48" s="34">
        <f>IFERROR(__xludf.DUMMYFUNCTION("""COMPUTED_VALUE"""),0.0)</f>
        <v>0</v>
      </c>
      <c r="G48" s="34">
        <f>IFERROR(__xludf.DUMMYFUNCTION("""COMPUTED_VALUE"""),3201.0)</f>
        <v>3201</v>
      </c>
      <c r="H48" s="34">
        <f>IFERROR(__xludf.DUMMYFUNCTION("""COMPUTED_VALUE"""),3201.0)</f>
        <v>3201</v>
      </c>
      <c r="I48" s="34" t="str">
        <f>IFERROR(__xludf.DUMMYFUNCTION("""COMPUTED_VALUE"""),"")</f>
        <v/>
      </c>
      <c r="J48" s="34">
        <f>IFERROR(__xludf.DUMMYFUNCTION("""COMPUTED_VALUE"""),1763.03)</f>
        <v>1763.03</v>
      </c>
      <c r="K48" s="36">
        <f>IFERROR(__xludf.DUMMYFUNCTION("""COMPUTED_VALUE"""),0.0)</f>
        <v>0</v>
      </c>
      <c r="L48" s="37" t="b">
        <v>0</v>
      </c>
      <c r="M48" s="28"/>
    </row>
    <row r="49">
      <c r="A49" s="32">
        <f>IFERROR(__xludf.DUMMYFUNCTION("""COMPUTED_VALUE"""),2.0255159E7)</f>
        <v>20255159</v>
      </c>
      <c r="B49" s="32" t="str">
        <f>IFERROR(__xludf.DUMMYFUNCTION("""COMPUTED_VALUE"""),"Vicki Jones")</f>
        <v>Vicki Jones</v>
      </c>
      <c r="C49" s="32" t="b">
        <f>IFERROR(__xludf.DUMMYFUNCTION("""COMPUTED_VALUE"""),TRUE)</f>
        <v>1</v>
      </c>
      <c r="D49" s="33">
        <f>IFERROR(__xludf.DUMMYFUNCTION("""COMPUTED_VALUE"""),0.40082324094424004)</f>
        <v>0.4008232409</v>
      </c>
      <c r="E49" s="34">
        <f>IFERROR(__xludf.DUMMYFUNCTION("""COMPUTED_VALUE"""),9127.34)</f>
        <v>9127.34</v>
      </c>
      <c r="F49" s="34">
        <f>IFERROR(__xludf.DUMMYFUNCTION("""COMPUTED_VALUE"""),0.0)</f>
        <v>0</v>
      </c>
      <c r="G49" s="34">
        <f>IFERROR(__xludf.DUMMYFUNCTION("""COMPUTED_VALUE"""),9127.34)</f>
        <v>9127.34</v>
      </c>
      <c r="H49" s="34">
        <f>IFERROR(__xludf.DUMMYFUNCTION("""COMPUTED_VALUE"""),9127.34)</f>
        <v>9127.34</v>
      </c>
      <c r="I49" s="34" t="str">
        <f>IFERROR(__xludf.DUMMYFUNCTION("""COMPUTED_VALUE"""),"")</f>
        <v/>
      </c>
      <c r="J49" s="34">
        <f>IFERROR(__xludf.DUMMYFUNCTION("""COMPUTED_VALUE"""),320.1)</f>
        <v>320.1</v>
      </c>
      <c r="K49" s="36">
        <f>IFERROR(__xludf.DUMMYFUNCTION("""COMPUTED_VALUE"""),0.0)</f>
        <v>0</v>
      </c>
      <c r="L49" s="37" t="b">
        <v>0</v>
      </c>
      <c r="M49" s="28"/>
    </row>
    <row r="50">
      <c r="A50" s="32">
        <f>IFERROR(__xludf.DUMMYFUNCTION("""COMPUTED_VALUE"""),2.0255169E7)</f>
        <v>20255169</v>
      </c>
      <c r="B50" s="32" t="str">
        <f>IFERROR(__xludf.DUMMYFUNCTION("""COMPUTED_VALUE"""),"Jennifer Colwell")</f>
        <v>Jennifer Colwell</v>
      </c>
      <c r="C50" s="32" t="b">
        <f>IFERROR(__xludf.DUMMYFUNCTION("""COMPUTED_VALUE"""),TRUE)</f>
        <v>1</v>
      </c>
      <c r="D50" s="33">
        <f>IFERROR(__xludf.DUMMYFUNCTION("""COMPUTED_VALUE"""),0.4625782182034488)</f>
        <v>0.4625782182</v>
      </c>
      <c r="E50" s="34">
        <f>IFERROR(__xludf.DUMMYFUNCTION("""COMPUTED_VALUE"""),6018.42)</f>
        <v>6018.42</v>
      </c>
      <c r="F50" s="34">
        <f>IFERROR(__xludf.DUMMYFUNCTION("""COMPUTED_VALUE"""),0.0)</f>
        <v>0</v>
      </c>
      <c r="G50" s="34">
        <f>IFERROR(__xludf.DUMMYFUNCTION("""COMPUTED_VALUE"""),6018.42)</f>
        <v>6018.42</v>
      </c>
      <c r="H50" s="34">
        <f>IFERROR(__xludf.DUMMYFUNCTION("""COMPUTED_VALUE"""),6018.42)</f>
        <v>6018.42</v>
      </c>
      <c r="I50" s="34" t="str">
        <f>IFERROR(__xludf.DUMMYFUNCTION("""COMPUTED_VALUE"""),"")</f>
        <v/>
      </c>
      <c r="J50" s="34">
        <f>IFERROR(__xludf.DUMMYFUNCTION("""COMPUTED_VALUE"""),0.0)</f>
        <v>0</v>
      </c>
      <c r="K50" s="34">
        <f>IFERROR(__xludf.DUMMYFUNCTION("""COMPUTED_VALUE"""),0.0)</f>
        <v>0</v>
      </c>
      <c r="L50" s="37" t="b">
        <v>0</v>
      </c>
      <c r="M50" s="28"/>
    </row>
    <row r="51">
      <c r="A51" s="32">
        <f>IFERROR(__xludf.DUMMYFUNCTION("""COMPUTED_VALUE"""),2.0255171E7)</f>
        <v>20255171</v>
      </c>
      <c r="B51" s="32" t="str">
        <f>IFERROR(__xludf.DUMMYFUNCTION("""COMPUTED_VALUE"""),"Ben Davis")</f>
        <v>Ben Davis</v>
      </c>
      <c r="C51" s="32" t="b">
        <f>IFERROR(__xludf.DUMMYFUNCTION("""COMPUTED_VALUE"""),TRUE)</f>
        <v>1</v>
      </c>
      <c r="D51" s="33">
        <f>IFERROR(__xludf.DUMMYFUNCTION("""COMPUTED_VALUE"""),0.3986213229338589)</f>
        <v>0.3986213229</v>
      </c>
      <c r="E51" s="34">
        <f>IFERROR(__xludf.DUMMYFUNCTION("""COMPUTED_VALUE"""),10803.11)</f>
        <v>10803.11</v>
      </c>
      <c r="F51" s="34">
        <f>IFERROR(__xludf.DUMMYFUNCTION("""COMPUTED_VALUE"""),0.0)</f>
        <v>0</v>
      </c>
      <c r="G51" s="34">
        <f>IFERROR(__xludf.DUMMYFUNCTION("""COMPUTED_VALUE"""),10803.11)</f>
        <v>10803.11</v>
      </c>
      <c r="H51" s="34">
        <f>IFERROR(__xludf.DUMMYFUNCTION("""COMPUTED_VALUE"""),10803.11)</f>
        <v>10803.11</v>
      </c>
      <c r="I51" s="34" t="str">
        <f>IFERROR(__xludf.DUMMYFUNCTION("""COMPUTED_VALUE"""),"")</f>
        <v/>
      </c>
      <c r="J51" s="34">
        <f>IFERROR(__xludf.DUMMYFUNCTION("""COMPUTED_VALUE"""),0.0)</f>
        <v>0</v>
      </c>
      <c r="K51" s="36">
        <f>IFERROR(__xludf.DUMMYFUNCTION("""COMPUTED_VALUE"""),0.0)</f>
        <v>0</v>
      </c>
      <c r="L51" s="37" t="b">
        <v>0</v>
      </c>
      <c r="M51" s="28"/>
    </row>
    <row r="52">
      <c r="A52" s="41">
        <f>IFERROR(__xludf.DUMMYFUNCTION("""COMPUTED_VALUE"""),2.0255172E7)</f>
        <v>20255172</v>
      </c>
      <c r="B52" s="41" t="str">
        <f>IFERROR(__xludf.DUMMYFUNCTION("""COMPUTED_VALUE"""),"Douglas Swartz")</f>
        <v>Douglas Swartz</v>
      </c>
      <c r="C52" s="41" t="b">
        <f>IFERROR(__xludf.DUMMYFUNCTION("""COMPUTED_VALUE"""),FALSE)</f>
        <v>0</v>
      </c>
      <c r="D52" s="42">
        <f>IFERROR(__xludf.DUMMYFUNCTION("""COMPUTED_VALUE"""),0.3787295664996978)</f>
        <v>0.3787295665</v>
      </c>
      <c r="E52" s="43">
        <f>IFERROR(__xludf.DUMMYFUNCTION("""COMPUTED_VALUE"""),141375.68)</f>
        <v>141375.68</v>
      </c>
      <c r="F52" s="43">
        <f>IFERROR(__xludf.DUMMYFUNCTION("""COMPUTED_VALUE"""),0.0)</f>
        <v>0</v>
      </c>
      <c r="G52" s="43">
        <f>IFERROR(__xludf.DUMMYFUNCTION("""COMPUTED_VALUE"""),141054.19)</f>
        <v>141054.19</v>
      </c>
      <c r="H52" s="43">
        <f>IFERROR(__xludf.DUMMYFUNCTION("""COMPUTED_VALUE"""),141054.19)</f>
        <v>141054.19</v>
      </c>
      <c r="I52" s="43" t="str">
        <f>IFERROR(__xludf.DUMMYFUNCTION("""COMPUTED_VALUE"""),"")</f>
        <v/>
      </c>
      <c r="J52" s="43">
        <f>IFERROR(__xludf.DUMMYFUNCTION("""COMPUTED_VALUE"""),14105.42)</f>
        <v>14105.42</v>
      </c>
      <c r="K52" s="43">
        <f>IFERROR(__xludf.DUMMYFUNCTION("""COMPUTED_VALUE"""),0.0)</f>
        <v>0</v>
      </c>
      <c r="L52" s="46" t="b">
        <v>0</v>
      </c>
      <c r="M52" s="28"/>
    </row>
    <row r="53">
      <c r="A53" s="32">
        <f>IFERROR(__xludf.DUMMYFUNCTION("""COMPUTED_VALUE"""),2.0255173E7)</f>
        <v>20255173</v>
      </c>
      <c r="B53" s="32" t="str">
        <f>IFERROR(__xludf.DUMMYFUNCTION("""COMPUTED_VALUE"""),"Sam  Hinker")</f>
        <v>Sam  Hinker</v>
      </c>
      <c r="C53" s="32" t="b">
        <f>IFERROR(__xludf.DUMMYFUNCTION("""COMPUTED_VALUE"""),TRUE)</f>
        <v>1</v>
      </c>
      <c r="D53" s="33">
        <f>IFERROR(__xludf.DUMMYFUNCTION("""COMPUTED_VALUE"""),0.3777866766942262)</f>
        <v>0.3777866767</v>
      </c>
      <c r="E53" s="34">
        <f>IFERROR(__xludf.DUMMYFUNCTION("""COMPUTED_VALUE"""),4095.38)</f>
        <v>4095.38</v>
      </c>
      <c r="F53" s="34">
        <f>IFERROR(__xludf.DUMMYFUNCTION("""COMPUTED_VALUE"""),0.0)</f>
        <v>0</v>
      </c>
      <c r="G53" s="34">
        <f>IFERROR(__xludf.DUMMYFUNCTION("""COMPUTED_VALUE"""),4095.38)</f>
        <v>4095.38</v>
      </c>
      <c r="H53" s="34">
        <f>IFERROR(__xludf.DUMMYFUNCTION("""COMPUTED_VALUE"""),4095.38)</f>
        <v>4095.38</v>
      </c>
      <c r="I53" s="34" t="str">
        <f>IFERROR(__xludf.DUMMYFUNCTION("""COMPUTED_VALUE"""),"")</f>
        <v/>
      </c>
      <c r="J53" s="34">
        <f>IFERROR(__xludf.DUMMYFUNCTION("""COMPUTED_VALUE"""),409.54)</f>
        <v>409.54</v>
      </c>
      <c r="K53" s="34">
        <f>IFERROR(__xludf.DUMMYFUNCTION("""COMPUTED_VALUE"""),0.0)</f>
        <v>0</v>
      </c>
      <c r="L53" s="37" t="b">
        <v>0</v>
      </c>
      <c r="M53" s="28"/>
    </row>
    <row r="54">
      <c r="A54" s="32">
        <f>IFERROR(__xludf.DUMMYFUNCTION("""COMPUTED_VALUE"""),2.0255174E7)</f>
        <v>20255174</v>
      </c>
      <c r="B54" s="32" t="str">
        <f>IFERROR(__xludf.DUMMYFUNCTION("""COMPUTED_VALUE"""),"Judy Shobe")</f>
        <v>Judy Shobe</v>
      </c>
      <c r="C54" s="32" t="b">
        <f>IFERROR(__xludf.DUMMYFUNCTION("""COMPUTED_VALUE"""),TRUE)</f>
        <v>1</v>
      </c>
      <c r="D54" s="33">
        <f>IFERROR(__xludf.DUMMYFUNCTION("""COMPUTED_VALUE"""),0.4510511765891369)</f>
        <v>0.4510511766</v>
      </c>
      <c r="E54" s="34">
        <f>IFERROR(__xludf.DUMMYFUNCTION("""COMPUTED_VALUE"""),29206.59)</f>
        <v>29206.59</v>
      </c>
      <c r="F54" s="34">
        <f>IFERROR(__xludf.DUMMYFUNCTION("""COMPUTED_VALUE"""),1508.0400000000009)</f>
        <v>1508.04</v>
      </c>
      <c r="G54" s="34">
        <f>IFERROR(__xludf.DUMMYFUNCTION("""COMPUTED_VALUE"""),29206.59)</f>
        <v>29206.59</v>
      </c>
      <c r="H54" s="34">
        <f>IFERROR(__xludf.DUMMYFUNCTION("""COMPUTED_VALUE"""),30714.63)</f>
        <v>30714.63</v>
      </c>
      <c r="I54" s="34" t="str">
        <f>IFERROR(__xludf.DUMMYFUNCTION("""COMPUTED_VALUE"""),"")</f>
        <v/>
      </c>
      <c r="J54" s="34">
        <f>IFERROR(__xludf.DUMMYFUNCTION("""COMPUTED_VALUE"""),3071.46)</f>
        <v>3071.46</v>
      </c>
      <c r="K54" s="34">
        <f>IFERROR(__xludf.DUMMYFUNCTION("""COMPUTED_VALUE"""),0.0)</f>
        <v>0</v>
      </c>
      <c r="L54" s="37" t="b">
        <v>0</v>
      </c>
      <c r="M54" s="28"/>
    </row>
    <row r="55">
      <c r="A55" s="32">
        <f>IFERROR(__xludf.DUMMYFUNCTION("""COMPUTED_VALUE"""),2.0255178E7)</f>
        <v>20255178</v>
      </c>
      <c r="B55" s="32" t="str">
        <f>IFERROR(__xludf.DUMMYFUNCTION("""COMPUTED_VALUE"""),"Shannon Clark")</f>
        <v>Shannon Clark</v>
      </c>
      <c r="C55" s="32" t="b">
        <f>IFERROR(__xludf.DUMMYFUNCTION("""COMPUTED_VALUE"""),TRUE)</f>
        <v>1</v>
      </c>
      <c r="D55" s="39">
        <f>IFERROR(__xludf.DUMMYFUNCTION("""COMPUTED_VALUE"""),0.28770393013100437)</f>
        <v>0.2877039301</v>
      </c>
      <c r="E55" s="34">
        <f>IFERROR(__xludf.DUMMYFUNCTION("""COMPUTED_VALUE"""),10999.63)</f>
        <v>10999.63</v>
      </c>
      <c r="F55" s="34">
        <f>IFERROR(__xludf.DUMMYFUNCTION("""COMPUTED_VALUE"""),450.3700000000008)</f>
        <v>450.37</v>
      </c>
      <c r="G55" s="34">
        <f>IFERROR(__xludf.DUMMYFUNCTION("""COMPUTED_VALUE"""),11449.63)</f>
        <v>11449.63</v>
      </c>
      <c r="H55" s="34">
        <f>IFERROR(__xludf.DUMMYFUNCTION("""COMPUTED_VALUE"""),11450.0)</f>
        <v>11450</v>
      </c>
      <c r="I55" s="34" t="str">
        <f>IFERROR(__xludf.DUMMYFUNCTION("""COMPUTED_VALUE"""),"")</f>
        <v/>
      </c>
      <c r="J55" s="34">
        <f>IFERROR(__xludf.DUMMYFUNCTION("""COMPUTED_VALUE"""),1145.0)</f>
        <v>1145</v>
      </c>
      <c r="K55" s="34">
        <f>IFERROR(__xludf.DUMMYFUNCTION("""COMPUTED_VALUE"""),0.0)</f>
        <v>0</v>
      </c>
      <c r="L55" s="37" t="b">
        <v>0</v>
      </c>
      <c r="M55" s="28"/>
    </row>
    <row r="56">
      <c r="A56" s="41">
        <f>IFERROR(__xludf.DUMMYFUNCTION("""COMPUTED_VALUE"""),2.0255181E7)</f>
        <v>20255181</v>
      </c>
      <c r="B56" s="41" t="str">
        <f>IFERROR(__xludf.DUMMYFUNCTION("""COMPUTED_VALUE"""),"INS - Andrew Heflin")</f>
        <v>INS - Andrew Heflin</v>
      </c>
      <c r="C56" s="42" t="b">
        <f>IFERROR(__xludf.DUMMYFUNCTION("""COMPUTED_VALUE"""),FALSE)</f>
        <v>0</v>
      </c>
      <c r="D56" s="42">
        <f>IFERROR(__xludf.DUMMYFUNCTION("""COMPUTED_VALUE"""),1.0)</f>
        <v>1</v>
      </c>
      <c r="E56" s="43">
        <f>IFERROR(__xludf.DUMMYFUNCTION("""COMPUTED_VALUE"""),21335.95)</f>
        <v>21335.95</v>
      </c>
      <c r="F56" s="43">
        <f>IFERROR(__xludf.DUMMYFUNCTION("""COMPUTED_VALUE"""),0.0)</f>
        <v>0</v>
      </c>
      <c r="G56" s="43">
        <f>IFERROR(__xludf.DUMMYFUNCTION("""COMPUTED_VALUE"""),23223.31)</f>
        <v>23223.31</v>
      </c>
      <c r="H56" s="43">
        <f>IFERROR(__xludf.DUMMYFUNCTION("""COMPUTED_VALUE"""),0.0)</f>
        <v>0</v>
      </c>
      <c r="I56" s="43" t="str">
        <f>IFERROR(__xludf.DUMMYFUNCTION("""COMPUTED_VALUE"""),"")</f>
        <v/>
      </c>
      <c r="J56" s="43">
        <f>IFERROR(__xludf.DUMMYFUNCTION("""COMPUTED_VALUE"""),0.0)</f>
        <v>0</v>
      </c>
      <c r="K56" s="43">
        <f>IFERROR(__xludf.DUMMYFUNCTION("""COMPUTED_VALUE"""),0.0)</f>
        <v>0</v>
      </c>
      <c r="L56" s="41" t="b">
        <v>0</v>
      </c>
      <c r="M56" s="28"/>
    </row>
    <row r="57">
      <c r="A57" s="32">
        <f>IFERROR(__xludf.DUMMYFUNCTION("""COMPUTED_VALUE"""),2.0255182E7)</f>
        <v>20255182</v>
      </c>
      <c r="B57" s="32" t="str">
        <f>IFERROR(__xludf.DUMMYFUNCTION("""COMPUTED_VALUE"""),"Don Barry")</f>
        <v>Don Barry</v>
      </c>
      <c r="C57" s="32" t="b">
        <f>IFERROR(__xludf.DUMMYFUNCTION("""COMPUTED_VALUE"""),TRUE)</f>
        <v>1</v>
      </c>
      <c r="D57" s="33">
        <f>IFERROR(__xludf.DUMMYFUNCTION("""COMPUTED_VALUE"""),0.337292964305404)</f>
        <v>0.3372929643</v>
      </c>
      <c r="E57" s="34">
        <f>IFERROR(__xludf.DUMMYFUNCTION("""COMPUTED_VALUE"""),13640.16)</f>
        <v>13640.16</v>
      </c>
      <c r="F57" s="34">
        <f>IFERROR(__xludf.DUMMYFUNCTION("""COMPUTED_VALUE"""),0.0)</f>
        <v>0</v>
      </c>
      <c r="G57" s="34">
        <f>IFERROR(__xludf.DUMMYFUNCTION("""COMPUTED_VALUE"""),13640.16)</f>
        <v>13640.16</v>
      </c>
      <c r="H57" s="34">
        <f>IFERROR(__xludf.DUMMYFUNCTION("""COMPUTED_VALUE"""),13640.16)</f>
        <v>13640.16</v>
      </c>
      <c r="I57" s="34" t="str">
        <f>IFERROR(__xludf.DUMMYFUNCTION("""COMPUTED_VALUE"""),"")</f>
        <v/>
      </c>
      <c r="J57" s="34">
        <f>IFERROR(__xludf.DUMMYFUNCTION("""COMPUTED_VALUE"""),1364.02)</f>
        <v>1364.02</v>
      </c>
      <c r="K57" s="34">
        <f>IFERROR(__xludf.DUMMYFUNCTION("""COMPUTED_VALUE"""),0.0)</f>
        <v>0</v>
      </c>
      <c r="L57" s="37" t="b">
        <v>0</v>
      </c>
      <c r="M57" s="28"/>
    </row>
    <row r="58">
      <c r="A58" s="32">
        <f>IFERROR(__xludf.DUMMYFUNCTION("""COMPUTED_VALUE"""),2.0255191E7)</f>
        <v>20255191</v>
      </c>
      <c r="B58" s="32" t="str">
        <f>IFERROR(__xludf.DUMMYFUNCTION("""COMPUTED_VALUE"""),"Jeff Hobbs")</f>
        <v>Jeff Hobbs</v>
      </c>
      <c r="C58" s="32" t="b">
        <f>IFERROR(__xludf.DUMMYFUNCTION("""COMPUTED_VALUE"""),TRUE)</f>
        <v>1</v>
      </c>
      <c r="D58" s="33">
        <f>IFERROR(__xludf.DUMMYFUNCTION("""COMPUTED_VALUE"""),0.4070369733447979)</f>
        <v>0.4070369733</v>
      </c>
      <c r="E58" s="34">
        <f>IFERROR(__xludf.DUMMYFUNCTION("""COMPUTED_VALUE"""),27975.0)</f>
        <v>27975</v>
      </c>
      <c r="F58" s="34">
        <f>IFERROR(__xludf.DUMMYFUNCTION("""COMPUTED_VALUE"""),1100.0)</f>
        <v>1100</v>
      </c>
      <c r="G58" s="34">
        <f>IFERROR(__xludf.DUMMYFUNCTION("""COMPUTED_VALUE"""),29075.0)</f>
        <v>29075</v>
      </c>
      <c r="H58" s="34">
        <f>IFERROR(__xludf.DUMMYFUNCTION("""COMPUTED_VALUE"""),29075.0)</f>
        <v>29075</v>
      </c>
      <c r="I58" s="34" t="str">
        <f>IFERROR(__xludf.DUMMYFUNCTION("""COMPUTED_VALUE"""),"")</f>
        <v/>
      </c>
      <c r="J58" s="34">
        <f>IFERROR(__xludf.DUMMYFUNCTION("""COMPUTED_VALUE"""),2907.5)</f>
        <v>2907.5</v>
      </c>
      <c r="K58" s="34">
        <f>IFERROR(__xludf.DUMMYFUNCTION("""COMPUTED_VALUE"""),0.0)</f>
        <v>0</v>
      </c>
      <c r="L58" s="37" t="b">
        <v>0</v>
      </c>
      <c r="M58" s="28"/>
    </row>
    <row r="59">
      <c r="A59" s="32">
        <f>IFERROR(__xludf.DUMMYFUNCTION("""COMPUTED_VALUE"""),2.0255193E7)</f>
        <v>20255193</v>
      </c>
      <c r="B59" s="32" t="str">
        <f>IFERROR(__xludf.DUMMYFUNCTION("""COMPUTED_VALUE"""),"Jerome Hudson")</f>
        <v>Jerome Hudson</v>
      </c>
      <c r="C59" s="32" t="b">
        <f>IFERROR(__xludf.DUMMYFUNCTION("""COMPUTED_VALUE"""),TRUE)</f>
        <v>1</v>
      </c>
      <c r="D59" s="33">
        <f>IFERROR(__xludf.DUMMYFUNCTION("""COMPUTED_VALUE"""),0.37989642108001753)</f>
        <v>0.3798964211</v>
      </c>
      <c r="E59" s="34">
        <f>IFERROR(__xludf.DUMMYFUNCTION("""COMPUTED_VALUE"""),2459.96)</f>
        <v>2459.96</v>
      </c>
      <c r="F59" s="34">
        <f>IFERROR(__xludf.DUMMYFUNCTION("""COMPUTED_VALUE"""),0.0)</f>
        <v>0</v>
      </c>
      <c r="G59" s="34">
        <f>IFERROR(__xludf.DUMMYFUNCTION("""COMPUTED_VALUE"""),2459.96)</f>
        <v>2459.96</v>
      </c>
      <c r="H59" s="34">
        <f>IFERROR(__xludf.DUMMYFUNCTION("""COMPUTED_VALUE"""),2459.96)</f>
        <v>2459.96</v>
      </c>
      <c r="I59" s="34" t="str">
        <f>IFERROR(__xludf.DUMMYFUNCTION("""COMPUTED_VALUE"""),"")</f>
        <v/>
      </c>
      <c r="J59" s="34">
        <f>IFERROR(__xludf.DUMMYFUNCTION("""COMPUTED_VALUE"""),246.0)</f>
        <v>246</v>
      </c>
      <c r="K59" s="34">
        <f>IFERROR(__xludf.DUMMYFUNCTION("""COMPUTED_VALUE"""),0.0)</f>
        <v>0</v>
      </c>
      <c r="L59" s="37" t="b">
        <v>0</v>
      </c>
      <c r="M59" s="28"/>
    </row>
    <row r="60">
      <c r="A60" s="41">
        <f>IFERROR(__xludf.DUMMYFUNCTION("""COMPUTED_VALUE"""),2.0255194E7)</f>
        <v>20255194</v>
      </c>
      <c r="B60" s="41" t="str">
        <f>IFERROR(__xludf.DUMMYFUNCTION("""COMPUTED_VALUE"""),"Brian Mueller")</f>
        <v>Brian Mueller</v>
      </c>
      <c r="C60" s="41" t="b">
        <f>IFERROR(__xludf.DUMMYFUNCTION("""COMPUTED_VALUE"""),FALSE)</f>
        <v>0</v>
      </c>
      <c r="D60" s="42">
        <f>IFERROR(__xludf.DUMMYFUNCTION("""COMPUTED_VALUE"""),0.3641749715985654)</f>
        <v>0.3641749716</v>
      </c>
      <c r="E60" s="43">
        <f>IFERROR(__xludf.DUMMYFUNCTION("""COMPUTED_VALUE"""),39443.43)</f>
        <v>39443.43</v>
      </c>
      <c r="F60" s="43">
        <f>IFERROR(__xludf.DUMMYFUNCTION("""COMPUTED_VALUE"""),0.0)</f>
        <v>0</v>
      </c>
      <c r="G60" s="43">
        <f>IFERROR(__xludf.DUMMYFUNCTION("""COMPUTED_VALUE"""),39196.56)</f>
        <v>39196.56</v>
      </c>
      <c r="H60" s="43">
        <f>IFERROR(__xludf.DUMMYFUNCTION("""COMPUTED_VALUE"""),39196.56)</f>
        <v>39196.56</v>
      </c>
      <c r="I60" s="43" t="str">
        <f>IFERROR(__xludf.DUMMYFUNCTION("""COMPUTED_VALUE"""),"")</f>
        <v/>
      </c>
      <c r="J60" s="43">
        <f>IFERROR(__xludf.DUMMYFUNCTION("""COMPUTED_VALUE"""),0.0)</f>
        <v>0</v>
      </c>
      <c r="K60" s="43">
        <f>IFERROR(__xludf.DUMMYFUNCTION("""COMPUTED_VALUE"""),0.0)</f>
        <v>0</v>
      </c>
      <c r="L60" s="46" t="b">
        <v>0</v>
      </c>
      <c r="M60" s="28"/>
    </row>
    <row r="61">
      <c r="A61" s="32">
        <f>IFERROR(__xludf.DUMMYFUNCTION("""COMPUTED_VALUE"""),2.0255201E7)</f>
        <v>20255201</v>
      </c>
      <c r="B61" s="32" t="str">
        <f>IFERROR(__xludf.DUMMYFUNCTION("""COMPUTED_VALUE"""),"Glenn Westrick")</f>
        <v>Glenn Westrick</v>
      </c>
      <c r="C61" s="32" t="b">
        <f>IFERROR(__xludf.DUMMYFUNCTION("""COMPUTED_VALUE"""),TRUE)</f>
        <v>1</v>
      </c>
      <c r="D61" s="33">
        <f>IFERROR(__xludf.DUMMYFUNCTION("""COMPUTED_VALUE"""),0.6332966629996333)</f>
        <v>0.633296663</v>
      </c>
      <c r="E61" s="34">
        <f>IFERROR(__xludf.DUMMYFUNCTION("""COMPUTED_VALUE"""),545.4)</f>
        <v>545.4</v>
      </c>
      <c r="F61" s="34">
        <f>IFERROR(__xludf.DUMMYFUNCTION("""COMPUTED_VALUE"""),0.0)</f>
        <v>0</v>
      </c>
      <c r="G61" s="34">
        <f>IFERROR(__xludf.DUMMYFUNCTION("""COMPUTED_VALUE"""),545.4)</f>
        <v>545.4</v>
      </c>
      <c r="H61" s="34">
        <f>IFERROR(__xludf.DUMMYFUNCTION("""COMPUTED_VALUE"""),545.4)</f>
        <v>545.4</v>
      </c>
      <c r="I61" s="34" t="str">
        <f>IFERROR(__xludf.DUMMYFUNCTION("""COMPUTED_VALUE"""),"")</f>
        <v/>
      </c>
      <c r="J61" s="34">
        <f>IFERROR(__xludf.DUMMYFUNCTION("""COMPUTED_VALUE"""),0.0)</f>
        <v>0</v>
      </c>
      <c r="K61" s="34">
        <f>IFERROR(__xludf.DUMMYFUNCTION("""COMPUTED_VALUE"""),0.0)</f>
        <v>0</v>
      </c>
      <c r="L61" s="37" t="b">
        <v>0</v>
      </c>
      <c r="M61" s="28"/>
    </row>
    <row r="62">
      <c r="A62" s="32">
        <f>IFERROR(__xludf.DUMMYFUNCTION("""COMPUTED_VALUE"""),2.0255206E7)</f>
        <v>20255206</v>
      </c>
      <c r="B62" s="32" t="str">
        <f>IFERROR(__xludf.DUMMYFUNCTION("""COMPUTED_VALUE"""),"William Barrett")</f>
        <v>William Barrett</v>
      </c>
      <c r="C62" s="32" t="b">
        <f>IFERROR(__xludf.DUMMYFUNCTION("""COMPUTED_VALUE"""),TRUE)</f>
        <v>1</v>
      </c>
      <c r="D62" s="33">
        <f>IFERROR(__xludf.DUMMYFUNCTION("""COMPUTED_VALUE"""),0.4000010404636306)</f>
        <v>0.4000010405</v>
      </c>
      <c r="E62" s="34">
        <f>IFERROR(__xludf.DUMMYFUNCTION("""COMPUTED_VALUE"""),5766.66)</f>
        <v>5766.66</v>
      </c>
      <c r="F62" s="34">
        <f>IFERROR(__xludf.DUMMYFUNCTION("""COMPUTED_VALUE"""),0.0)</f>
        <v>0</v>
      </c>
      <c r="G62" s="34">
        <f>IFERROR(__xludf.DUMMYFUNCTION("""COMPUTED_VALUE"""),5766.66)</f>
        <v>5766.66</v>
      </c>
      <c r="H62" s="34">
        <f>IFERROR(__xludf.DUMMYFUNCTION("""COMPUTED_VALUE"""),5766.66)</f>
        <v>5766.66</v>
      </c>
      <c r="I62" s="34" t="str">
        <f>IFERROR(__xludf.DUMMYFUNCTION("""COMPUTED_VALUE"""),"")</f>
        <v/>
      </c>
      <c r="J62" s="34">
        <f>IFERROR(__xludf.DUMMYFUNCTION("""COMPUTED_VALUE"""),0.0)</f>
        <v>0</v>
      </c>
      <c r="K62" s="34">
        <f>IFERROR(__xludf.DUMMYFUNCTION("""COMPUTED_VALUE"""),0.0)</f>
        <v>0</v>
      </c>
      <c r="L62" s="37" t="b">
        <v>0</v>
      </c>
      <c r="M62" s="28"/>
    </row>
    <row r="63">
      <c r="A63" s="28">
        <f>IFERROR(__xludf.DUMMYFUNCTION("""COMPUTED_VALUE"""),2.0255209E7)</f>
        <v>20255209</v>
      </c>
      <c r="B63" s="28" t="str">
        <f>IFERROR(__xludf.DUMMYFUNCTION("""COMPUTED_VALUE"""),"INS - Heidi Yost")</f>
        <v>INS - Heidi Yost</v>
      </c>
      <c r="C63" s="51" t="b">
        <f>IFERROR(__xludf.DUMMYFUNCTION("""COMPUTED_VALUE"""),FALSE)</f>
        <v>0</v>
      </c>
      <c r="D63" s="51" t="str">
        <f>IFERROR(__xludf.DUMMYFUNCTION("""COMPUTED_VALUE"""),"")</f>
        <v/>
      </c>
      <c r="E63" s="29">
        <f>IFERROR(__xludf.DUMMYFUNCTION("""COMPUTED_VALUE"""),0.0)</f>
        <v>0</v>
      </c>
      <c r="F63" s="29">
        <f>IFERROR(__xludf.DUMMYFUNCTION("""COMPUTED_VALUE"""),0.0)</f>
        <v>0</v>
      </c>
      <c r="G63" s="29">
        <f>IFERROR(__xludf.DUMMYFUNCTION("""COMPUTED_VALUE"""),0.0)</f>
        <v>0</v>
      </c>
      <c r="H63" s="29">
        <f>IFERROR(__xludf.DUMMYFUNCTION("""COMPUTED_VALUE"""),0.0)</f>
        <v>0</v>
      </c>
      <c r="I63" s="29" t="str">
        <f>IFERROR(__xludf.DUMMYFUNCTION("""COMPUTED_VALUE"""),"")</f>
        <v/>
      </c>
      <c r="J63" s="29">
        <f>IFERROR(__xludf.DUMMYFUNCTION("""COMPUTED_VALUE"""),0.0)</f>
        <v>0</v>
      </c>
      <c r="K63" s="29">
        <f>IFERROR(__xludf.DUMMYFUNCTION("""COMPUTED_VALUE"""),0.0)</f>
        <v>0</v>
      </c>
      <c r="L63" s="28" t="b">
        <v>0</v>
      </c>
      <c r="M63" s="28"/>
    </row>
    <row r="64">
      <c r="A64" s="41">
        <f>IFERROR(__xludf.DUMMYFUNCTION("""COMPUTED_VALUE"""),2.025521E7)</f>
        <v>20255210</v>
      </c>
      <c r="B64" s="41" t="str">
        <f>IFERROR(__xludf.DUMMYFUNCTION("""COMPUTED_VALUE"""),"INS - Teresa Luciano")</f>
        <v>INS - Teresa Luciano</v>
      </c>
      <c r="C64" s="41" t="b">
        <f>IFERROR(__xludf.DUMMYFUNCTION("""COMPUTED_VALUE"""),FALSE)</f>
        <v>0</v>
      </c>
      <c r="D64" s="42">
        <f>IFERROR(__xludf.DUMMYFUNCTION("""COMPUTED_VALUE"""),0.3445941532883198)</f>
        <v>0.3445941533</v>
      </c>
      <c r="E64" s="43">
        <f>IFERROR(__xludf.DUMMYFUNCTION("""COMPUTED_VALUE"""),29090.54)</f>
        <v>29090.54</v>
      </c>
      <c r="F64" s="43">
        <f>IFERROR(__xludf.DUMMYFUNCTION("""COMPUTED_VALUE"""),0.0)</f>
        <v>0</v>
      </c>
      <c r="G64" s="43">
        <f>IFERROR(__xludf.DUMMYFUNCTION("""COMPUTED_VALUE"""),28590.54)</f>
        <v>28590.54</v>
      </c>
      <c r="H64" s="43">
        <f>IFERROR(__xludf.DUMMYFUNCTION("""COMPUTED_VALUE"""),28490.54)</f>
        <v>28490.54</v>
      </c>
      <c r="I64" s="43" t="str">
        <f>IFERROR(__xludf.DUMMYFUNCTION("""COMPUTED_VALUE"""),"")</f>
        <v/>
      </c>
      <c r="J64" s="43">
        <f>IFERROR(__xludf.DUMMYFUNCTION("""COMPUTED_VALUE"""),2944.8)</f>
        <v>2944.8</v>
      </c>
      <c r="K64" s="43">
        <f>IFERROR(__xludf.DUMMYFUNCTION("""COMPUTED_VALUE"""),0.0)</f>
        <v>0</v>
      </c>
      <c r="L64" s="46" t="b">
        <v>0</v>
      </c>
      <c r="M64" s="38" t="s">
        <v>152</v>
      </c>
    </row>
    <row r="65">
      <c r="A65" s="32">
        <f>IFERROR(__xludf.DUMMYFUNCTION("""COMPUTED_VALUE"""),2.0255214E7)</f>
        <v>20255214</v>
      </c>
      <c r="B65" s="32" t="str">
        <f>IFERROR(__xludf.DUMMYFUNCTION("""COMPUTED_VALUE"""),"Josh Tincher")</f>
        <v>Josh Tincher</v>
      </c>
      <c r="C65" s="32" t="b">
        <f>IFERROR(__xludf.DUMMYFUNCTION("""COMPUTED_VALUE"""),TRUE)</f>
        <v>1</v>
      </c>
      <c r="D65" s="33">
        <f>IFERROR(__xludf.DUMMYFUNCTION("""COMPUTED_VALUE"""),0.4774750452057756)</f>
        <v>0.4774750452</v>
      </c>
      <c r="E65" s="34">
        <f>IFERROR(__xludf.DUMMYFUNCTION("""COMPUTED_VALUE"""),10778.49)</f>
        <v>10778.49</v>
      </c>
      <c r="F65" s="34">
        <f>IFERROR(__xludf.DUMMYFUNCTION("""COMPUTED_VALUE"""),0.0)</f>
        <v>0</v>
      </c>
      <c r="G65" s="34">
        <f>IFERROR(__xludf.DUMMYFUNCTION("""COMPUTED_VALUE"""),10778.49)</f>
        <v>10778.49</v>
      </c>
      <c r="H65" s="34">
        <f>IFERROR(__xludf.DUMMYFUNCTION("""COMPUTED_VALUE"""),10778.49)</f>
        <v>10778.49</v>
      </c>
      <c r="I65" s="34" t="str">
        <f>IFERROR(__xludf.DUMMYFUNCTION("""COMPUTED_VALUE"""),"")</f>
        <v/>
      </c>
      <c r="J65" s="34">
        <f>IFERROR(__xludf.DUMMYFUNCTION("""COMPUTED_VALUE"""),480.74)</f>
        <v>480.74</v>
      </c>
      <c r="K65" s="34">
        <f>IFERROR(__xludf.DUMMYFUNCTION("""COMPUTED_VALUE"""),0.0)</f>
        <v>0</v>
      </c>
      <c r="L65" s="37" t="b">
        <v>0</v>
      </c>
      <c r="M65" s="38" t="s">
        <v>153</v>
      </c>
    </row>
    <row r="66">
      <c r="A66" s="32">
        <f>IFERROR(__xludf.DUMMYFUNCTION("""COMPUTED_VALUE"""),2.0255216E7)</f>
        <v>20255216</v>
      </c>
      <c r="B66" s="32" t="str">
        <f>IFERROR(__xludf.DUMMYFUNCTION("""COMPUTED_VALUE"""),"Angie Zielinski")</f>
        <v>Angie Zielinski</v>
      </c>
      <c r="C66" s="32" t="b">
        <f>IFERROR(__xludf.DUMMYFUNCTION("""COMPUTED_VALUE"""),TRUE)</f>
        <v>1</v>
      </c>
      <c r="D66" s="33">
        <f>IFERROR(__xludf.DUMMYFUNCTION("""COMPUTED_VALUE"""),0.3491277772210937)</f>
        <v>0.3491277772</v>
      </c>
      <c r="E66" s="34">
        <f>IFERROR(__xludf.DUMMYFUNCTION("""COMPUTED_VALUE"""),10977.7)</f>
        <v>10977.7</v>
      </c>
      <c r="F66" s="34">
        <f>IFERROR(__xludf.DUMMYFUNCTION("""COMPUTED_VALUE"""),0.0)</f>
        <v>0</v>
      </c>
      <c r="G66" s="34">
        <f>IFERROR(__xludf.DUMMYFUNCTION("""COMPUTED_VALUE"""),10977.7)</f>
        <v>10977.7</v>
      </c>
      <c r="H66" s="34">
        <f>IFERROR(__xludf.DUMMYFUNCTION("""COMPUTED_VALUE"""),10977.7)</f>
        <v>10977.7</v>
      </c>
      <c r="I66" s="34" t="str">
        <f>IFERROR(__xludf.DUMMYFUNCTION("""COMPUTED_VALUE"""),"")</f>
        <v/>
      </c>
      <c r="J66" s="34">
        <f>IFERROR(__xludf.DUMMYFUNCTION("""COMPUTED_VALUE"""),0.0)</f>
        <v>0</v>
      </c>
      <c r="K66" s="34">
        <f>IFERROR(__xludf.DUMMYFUNCTION("""COMPUTED_VALUE"""),0.0)</f>
        <v>0</v>
      </c>
      <c r="L66" s="37" t="b">
        <v>0</v>
      </c>
      <c r="M66" s="28"/>
    </row>
    <row r="67">
      <c r="A67" s="32">
        <f>IFERROR(__xludf.DUMMYFUNCTION("""COMPUTED_VALUE"""),2.0255217E7)</f>
        <v>20255217</v>
      </c>
      <c r="B67" s="32" t="str">
        <f>IFERROR(__xludf.DUMMYFUNCTION("""COMPUTED_VALUE"""),"Joseph  Abke")</f>
        <v>Joseph  Abke</v>
      </c>
      <c r="C67" s="32" t="b">
        <f>IFERROR(__xludf.DUMMYFUNCTION("""COMPUTED_VALUE"""),TRUE)</f>
        <v>1</v>
      </c>
      <c r="D67" s="33">
        <f>IFERROR(__xludf.DUMMYFUNCTION("""COMPUTED_VALUE"""),0.5107012716591061)</f>
        <v>0.5107012717</v>
      </c>
      <c r="E67" s="34">
        <f>IFERROR(__xludf.DUMMYFUNCTION("""COMPUTED_VALUE"""),3518.79)</f>
        <v>3518.79</v>
      </c>
      <c r="F67" s="34">
        <f>IFERROR(__xludf.DUMMYFUNCTION("""COMPUTED_VALUE"""),515.31)</f>
        <v>515.31</v>
      </c>
      <c r="G67" s="34">
        <f>IFERROR(__xludf.DUMMYFUNCTION("""COMPUTED_VALUE"""),4034.1)</f>
        <v>4034.1</v>
      </c>
      <c r="H67" s="34">
        <f>IFERROR(__xludf.DUMMYFUNCTION("""COMPUTED_VALUE"""),4034.1)</f>
        <v>4034.1</v>
      </c>
      <c r="I67" s="34" t="str">
        <f>IFERROR(__xludf.DUMMYFUNCTION("""COMPUTED_VALUE"""),"")</f>
        <v/>
      </c>
      <c r="J67" s="34">
        <f>IFERROR(__xludf.DUMMYFUNCTION("""COMPUTED_VALUE"""),0.0)</f>
        <v>0</v>
      </c>
      <c r="K67" s="34">
        <f>IFERROR(__xludf.DUMMYFUNCTION("""COMPUTED_VALUE"""),0.0)</f>
        <v>0</v>
      </c>
      <c r="L67" s="37" t="b">
        <v>0</v>
      </c>
      <c r="M67" s="28"/>
    </row>
    <row r="68">
      <c r="A68" s="32">
        <f>IFERROR(__xludf.DUMMYFUNCTION("""COMPUTED_VALUE"""),2.0255218E7)</f>
        <v>20255218</v>
      </c>
      <c r="B68" s="32" t="str">
        <f>IFERROR(__xludf.DUMMYFUNCTION("""COMPUTED_VALUE"""),"Todd Gaerke")</f>
        <v>Todd Gaerke</v>
      </c>
      <c r="C68" s="32" t="b">
        <f>IFERROR(__xludf.DUMMYFUNCTION("""COMPUTED_VALUE"""),TRUE)</f>
        <v>1</v>
      </c>
      <c r="D68" s="33">
        <f>IFERROR(__xludf.DUMMYFUNCTION("""COMPUTED_VALUE"""),0.4438999520153551)</f>
        <v>0.443899952</v>
      </c>
      <c r="E68" s="34">
        <f>IFERROR(__xludf.DUMMYFUNCTION("""COMPUTED_VALUE"""),1467.58)</f>
        <v>1467.58</v>
      </c>
      <c r="F68" s="34">
        <f>IFERROR(__xludf.DUMMYFUNCTION("""COMPUTED_VALUE"""),199.62000000000012)</f>
        <v>199.62</v>
      </c>
      <c r="G68" s="34">
        <f>IFERROR(__xludf.DUMMYFUNCTION("""COMPUTED_VALUE"""),1667.2)</f>
        <v>1667.2</v>
      </c>
      <c r="H68" s="34">
        <f>IFERROR(__xludf.DUMMYFUNCTION("""COMPUTED_VALUE"""),1667.2)</f>
        <v>1667.2</v>
      </c>
      <c r="I68" s="34" t="str">
        <f>IFERROR(__xludf.DUMMYFUNCTION("""COMPUTED_VALUE"""),"")</f>
        <v/>
      </c>
      <c r="J68" s="34">
        <f>IFERROR(__xludf.DUMMYFUNCTION("""COMPUTED_VALUE"""),0.0)</f>
        <v>0</v>
      </c>
      <c r="K68" s="34">
        <f>IFERROR(__xludf.DUMMYFUNCTION("""COMPUTED_VALUE"""),0.0)</f>
        <v>0</v>
      </c>
      <c r="L68" s="37" t="b">
        <v>0</v>
      </c>
      <c r="M68" s="28"/>
    </row>
    <row r="69">
      <c r="A69" s="32">
        <f>IFERROR(__xludf.DUMMYFUNCTION("""COMPUTED_VALUE"""),2.025522E7)</f>
        <v>20255220</v>
      </c>
      <c r="B69" s="32" t="str">
        <f>IFERROR(__xludf.DUMMYFUNCTION("""COMPUTED_VALUE"""),"Dan Moorhead")</f>
        <v>Dan Moorhead</v>
      </c>
      <c r="C69" s="32" t="b">
        <f>IFERROR(__xludf.DUMMYFUNCTION("""COMPUTED_VALUE"""),TRUE)</f>
        <v>1</v>
      </c>
      <c r="D69" s="33">
        <f>IFERROR(__xludf.DUMMYFUNCTION("""COMPUTED_VALUE"""),0.6370532352167245)</f>
        <v>0.6370532352</v>
      </c>
      <c r="E69" s="34">
        <f>IFERROR(__xludf.DUMMYFUNCTION("""COMPUTED_VALUE"""),1102.09)</f>
        <v>1102.09</v>
      </c>
      <c r="F69" s="34">
        <f>IFERROR(__xludf.DUMMYFUNCTION("""COMPUTED_VALUE"""),0.0)</f>
        <v>0</v>
      </c>
      <c r="G69" s="34">
        <f>IFERROR(__xludf.DUMMYFUNCTION("""COMPUTED_VALUE"""),1102.09)</f>
        <v>1102.09</v>
      </c>
      <c r="H69" s="34">
        <f>IFERROR(__xludf.DUMMYFUNCTION("""COMPUTED_VALUE"""),1102.09)</f>
        <v>1102.09</v>
      </c>
      <c r="I69" s="34" t="str">
        <f>IFERROR(__xludf.DUMMYFUNCTION("""COMPUTED_VALUE"""),"")</f>
        <v/>
      </c>
      <c r="J69" s="34">
        <f>IFERROR(__xludf.DUMMYFUNCTION("""COMPUTED_VALUE"""),0.0)</f>
        <v>0</v>
      </c>
      <c r="K69" s="34">
        <f>IFERROR(__xludf.DUMMYFUNCTION("""COMPUTED_VALUE"""),0.0)</f>
        <v>0</v>
      </c>
      <c r="L69" s="37" t="b">
        <v>0</v>
      </c>
      <c r="M69" s="28"/>
    </row>
    <row r="70">
      <c r="A70" s="28">
        <f>IFERROR(__xludf.DUMMYFUNCTION("""COMPUTED_VALUE"""),2.0255223E7)</f>
        <v>20255223</v>
      </c>
      <c r="B70" s="28" t="str">
        <f>IFERROR(__xludf.DUMMYFUNCTION("""COMPUTED_VALUE"""),"Brian Resides")</f>
        <v>Brian Resides</v>
      </c>
      <c r="C70" s="51" t="b">
        <f>IFERROR(__xludf.DUMMYFUNCTION("""COMPUTED_VALUE"""),FALSE)</f>
        <v>0</v>
      </c>
      <c r="D70" s="51" t="str">
        <f>IFERROR(__xludf.DUMMYFUNCTION("""COMPUTED_VALUE"""),"")</f>
        <v/>
      </c>
      <c r="E70" s="29">
        <f>IFERROR(__xludf.DUMMYFUNCTION("""COMPUTED_VALUE"""),7534.47)</f>
        <v>7534.47</v>
      </c>
      <c r="F70" s="29">
        <f>IFERROR(__xludf.DUMMYFUNCTION("""COMPUTED_VALUE"""),0.0)</f>
        <v>0</v>
      </c>
      <c r="G70" s="29">
        <f>IFERROR(__xludf.DUMMYFUNCTION("""COMPUTED_VALUE"""),0.0)</f>
        <v>0</v>
      </c>
      <c r="H70" s="29">
        <f>IFERROR(__xludf.DUMMYFUNCTION("""COMPUTED_VALUE"""),0.0)</f>
        <v>0</v>
      </c>
      <c r="I70" s="29" t="str">
        <f>IFERROR(__xludf.DUMMYFUNCTION("""COMPUTED_VALUE"""),"")</f>
        <v/>
      </c>
      <c r="J70" s="29">
        <f>IFERROR(__xludf.DUMMYFUNCTION("""COMPUTED_VALUE"""),0.0)</f>
        <v>0</v>
      </c>
      <c r="K70" s="29">
        <f>IFERROR(__xludf.DUMMYFUNCTION("""COMPUTED_VALUE"""),0.0)</f>
        <v>0</v>
      </c>
      <c r="L70" s="28" t="b">
        <v>0</v>
      </c>
      <c r="M70" s="28"/>
    </row>
    <row r="71">
      <c r="A71" s="32">
        <f>IFERROR(__xludf.DUMMYFUNCTION("""COMPUTED_VALUE"""),2.0255225E7)</f>
        <v>20255225</v>
      </c>
      <c r="B71" s="32" t="str">
        <f>IFERROR(__xludf.DUMMYFUNCTION("""COMPUTED_VALUE"""),"Russell Evans")</f>
        <v>Russell Evans</v>
      </c>
      <c r="C71" s="32" t="b">
        <f>IFERROR(__xludf.DUMMYFUNCTION("""COMPUTED_VALUE"""),TRUE)</f>
        <v>1</v>
      </c>
      <c r="D71" s="33">
        <f>IFERROR(__xludf.DUMMYFUNCTION("""COMPUTED_VALUE"""),0.4295030329621205)</f>
        <v>0.429503033</v>
      </c>
      <c r="E71" s="34">
        <f>IFERROR(__xludf.DUMMYFUNCTION("""COMPUTED_VALUE"""),9159.35)</f>
        <v>9159.35</v>
      </c>
      <c r="F71" s="34">
        <f>IFERROR(__xludf.DUMMYFUNCTION("""COMPUTED_VALUE"""),504.46999999999935)</f>
        <v>504.47</v>
      </c>
      <c r="G71" s="34">
        <f>IFERROR(__xludf.DUMMYFUNCTION("""COMPUTED_VALUE"""),9663.82)</f>
        <v>9663.82</v>
      </c>
      <c r="H71" s="34">
        <f>IFERROR(__xludf.DUMMYFUNCTION("""COMPUTED_VALUE"""),9663.82)</f>
        <v>9663.82</v>
      </c>
      <c r="I71" s="34" t="str">
        <f>IFERROR(__xludf.DUMMYFUNCTION("""COMPUTED_VALUE"""),"")</f>
        <v/>
      </c>
      <c r="J71" s="34">
        <f>IFERROR(__xludf.DUMMYFUNCTION("""COMPUTED_VALUE"""),0.0)</f>
        <v>0</v>
      </c>
      <c r="K71" s="34">
        <f>IFERROR(__xludf.DUMMYFUNCTION("""COMPUTED_VALUE"""),0.0)</f>
        <v>0</v>
      </c>
      <c r="L71" s="37" t="b">
        <v>0</v>
      </c>
      <c r="M71" s="28"/>
    </row>
    <row r="72">
      <c r="A72" s="32">
        <f>IFERROR(__xludf.DUMMYFUNCTION("""COMPUTED_VALUE"""),2.0255227E7)</f>
        <v>20255227</v>
      </c>
      <c r="B72" s="32" t="str">
        <f>IFERROR(__xludf.DUMMYFUNCTION("""COMPUTED_VALUE"""),"Dustin Myers")</f>
        <v>Dustin Myers</v>
      </c>
      <c r="C72" s="32" t="b">
        <f>IFERROR(__xludf.DUMMYFUNCTION("""COMPUTED_VALUE"""),TRUE)</f>
        <v>1</v>
      </c>
      <c r="D72" s="33">
        <f>IFERROR(__xludf.DUMMYFUNCTION("""COMPUTED_VALUE"""),0.4501135371179039)</f>
        <v>0.4501135371</v>
      </c>
      <c r="E72" s="34">
        <f>IFERROR(__xludf.DUMMYFUNCTION("""COMPUTED_VALUE"""),1144.76)</f>
        <v>1144.76</v>
      </c>
      <c r="F72" s="34">
        <f>IFERROR(__xludf.DUMMYFUNCTION("""COMPUTED_VALUE"""),0.2400000000000091)</f>
        <v>0.24</v>
      </c>
      <c r="G72" s="34">
        <f>IFERROR(__xludf.DUMMYFUNCTION("""COMPUTED_VALUE"""),1144.76)</f>
        <v>1144.76</v>
      </c>
      <c r="H72" s="34">
        <f>IFERROR(__xludf.DUMMYFUNCTION("""COMPUTED_VALUE"""),1145.0)</f>
        <v>1145</v>
      </c>
      <c r="I72" s="34" t="str">
        <f>IFERROR(__xludf.DUMMYFUNCTION("""COMPUTED_VALUE"""),"")</f>
        <v/>
      </c>
      <c r="J72" s="34">
        <f>IFERROR(__xludf.DUMMYFUNCTION("""COMPUTED_VALUE"""),0.0)</f>
        <v>0</v>
      </c>
      <c r="K72" s="34">
        <f>IFERROR(__xludf.DUMMYFUNCTION("""COMPUTED_VALUE"""),0.0)</f>
        <v>0</v>
      </c>
      <c r="L72" s="37" t="b">
        <v>0</v>
      </c>
      <c r="M72" s="28"/>
    </row>
    <row r="73">
      <c r="A73" s="32">
        <f>IFERROR(__xludf.DUMMYFUNCTION("""COMPUTED_VALUE"""),2.0255228E7)</f>
        <v>20255228</v>
      </c>
      <c r="B73" s="32" t="str">
        <f>IFERROR(__xludf.DUMMYFUNCTION("""COMPUTED_VALUE"""),"JohnRoss")</f>
        <v>JohnRoss</v>
      </c>
      <c r="C73" s="32" t="b">
        <f>IFERROR(__xludf.DUMMYFUNCTION("""COMPUTED_VALUE"""),TRUE)</f>
        <v>1</v>
      </c>
      <c r="D73" s="33">
        <f>IFERROR(__xludf.DUMMYFUNCTION("""COMPUTED_VALUE"""),1.0)</f>
        <v>1</v>
      </c>
      <c r="E73" s="34">
        <f>IFERROR(__xludf.DUMMYFUNCTION("""COMPUTED_VALUE"""),310.0)</f>
        <v>310</v>
      </c>
      <c r="F73" s="34">
        <f>IFERROR(__xludf.DUMMYFUNCTION("""COMPUTED_VALUE"""),0.0)</f>
        <v>0</v>
      </c>
      <c r="G73" s="34">
        <f>IFERROR(__xludf.DUMMYFUNCTION("""COMPUTED_VALUE"""),310.0)</f>
        <v>310</v>
      </c>
      <c r="H73" s="34">
        <f>IFERROR(__xludf.DUMMYFUNCTION("""COMPUTED_VALUE"""),310.0)</f>
        <v>310</v>
      </c>
      <c r="I73" s="34" t="str">
        <f>IFERROR(__xludf.DUMMYFUNCTION("""COMPUTED_VALUE"""),"")</f>
        <v/>
      </c>
      <c r="J73" s="34">
        <f>IFERROR(__xludf.DUMMYFUNCTION("""COMPUTED_VALUE"""),0.0)</f>
        <v>0</v>
      </c>
      <c r="K73" s="34">
        <f>IFERROR(__xludf.DUMMYFUNCTION("""COMPUTED_VALUE"""),0.0)</f>
        <v>0</v>
      </c>
      <c r="L73" s="37" t="b">
        <v>0</v>
      </c>
      <c r="M73" s="28"/>
    </row>
    <row r="74">
      <c r="A74" s="32">
        <f>IFERROR(__xludf.DUMMYFUNCTION("""COMPUTED_VALUE"""),2.0255231E7)</f>
        <v>20255231</v>
      </c>
      <c r="B74" s="32" t="str">
        <f>IFERROR(__xludf.DUMMYFUNCTION("""COMPUTED_VALUE"""),"Chris Long")</f>
        <v>Chris Long</v>
      </c>
      <c r="C74" s="32" t="b">
        <f>IFERROR(__xludf.DUMMYFUNCTION("""COMPUTED_VALUE"""),TRUE)</f>
        <v>1</v>
      </c>
      <c r="D74" s="33">
        <f>IFERROR(__xludf.DUMMYFUNCTION("""COMPUTED_VALUE"""),0.38463582945832964)</f>
        <v>0.3846358295</v>
      </c>
      <c r="E74" s="34">
        <f>IFERROR(__xludf.DUMMYFUNCTION("""COMPUTED_VALUE"""),16542.52)</f>
        <v>16542.52</v>
      </c>
      <c r="F74" s="34">
        <f>IFERROR(__xludf.DUMMYFUNCTION("""COMPUTED_VALUE"""),162.84000000000015)</f>
        <v>162.84</v>
      </c>
      <c r="G74" s="34">
        <f>IFERROR(__xludf.DUMMYFUNCTION("""COMPUTED_VALUE"""),16705.36)</f>
        <v>16705.36</v>
      </c>
      <c r="H74" s="34">
        <f>IFERROR(__xludf.DUMMYFUNCTION("""COMPUTED_VALUE"""),16705.36)</f>
        <v>16705.36</v>
      </c>
      <c r="I74" s="34" t="str">
        <f>IFERROR(__xludf.DUMMYFUNCTION("""COMPUTED_VALUE"""),"")</f>
        <v/>
      </c>
      <c r="J74" s="34">
        <f>IFERROR(__xludf.DUMMYFUNCTION("""COMPUTED_VALUE"""),0.0)</f>
        <v>0</v>
      </c>
      <c r="K74" s="34">
        <f>IFERROR(__xludf.DUMMYFUNCTION("""COMPUTED_VALUE"""),0.0)</f>
        <v>0</v>
      </c>
      <c r="L74" s="37" t="b">
        <v>0</v>
      </c>
      <c r="M74" s="28"/>
    </row>
    <row r="75">
      <c r="A75" s="28" t="str">
        <f>IFERROR(__xludf.DUMMYFUNCTION("""COMPUTED_VALUE"""),"Grand Total")</f>
        <v>Grand Total</v>
      </c>
      <c r="B75" s="28"/>
      <c r="C75" s="28"/>
      <c r="D75" s="28"/>
      <c r="E75" s="29">
        <f>IFERROR(__xludf.DUMMYFUNCTION("""COMPUTED_VALUE"""),1142115.42)</f>
        <v>1142115.42</v>
      </c>
      <c r="F75" s="29">
        <f>IFERROR(__xludf.DUMMYFUNCTION("""COMPUTED_VALUE"""),33292.350000000224)</f>
        <v>33292.35</v>
      </c>
      <c r="G75" s="29">
        <f>IFERROR(__xludf.DUMMYFUNCTION("""COMPUTED_VALUE"""),1114439.5500000003)</f>
        <v>1114439.55</v>
      </c>
      <c r="H75" s="29">
        <f>IFERROR(__xludf.DUMMYFUNCTION("""COMPUTED_VALUE"""),1113399.9400000002)</f>
        <v>1113399.94</v>
      </c>
      <c r="I75" s="29" t="str">
        <f>IFERROR(__xludf.DUMMYFUNCTION("""COMPUTED_VALUE"""),"")</f>
        <v/>
      </c>
      <c r="J75" s="29">
        <f>IFERROR(__xludf.DUMMYFUNCTION("""COMPUTED_VALUE"""),0.0)</f>
        <v>0</v>
      </c>
      <c r="K75" s="28"/>
      <c r="L75" s="28" t="b">
        <v>0</v>
      </c>
      <c r="M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 t="b">
        <v>0</v>
      </c>
      <c r="M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 t="b">
        <v>0</v>
      </c>
      <c r="M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 t="b">
        <v>0</v>
      </c>
      <c r="M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 t="b">
        <v>0</v>
      </c>
      <c r="M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 t="b">
        <v>0</v>
      </c>
      <c r="M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 t="b">
        <v>0</v>
      </c>
      <c r="M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 t="b">
        <v>0</v>
      </c>
      <c r="M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 t="b">
        <v>0</v>
      </c>
      <c r="M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 t="b">
        <v>0</v>
      </c>
      <c r="M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 t="b">
        <v>0</v>
      </c>
      <c r="M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 t="b">
        <v>0</v>
      </c>
      <c r="M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 t="b">
        <v>0</v>
      </c>
      <c r="M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 t="b">
        <v>0</v>
      </c>
      <c r="M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 t="b">
        <v>0</v>
      </c>
      <c r="M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 t="b">
        <v>0</v>
      </c>
      <c r="M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 t="b">
        <v>0</v>
      </c>
      <c r="M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 t="b">
        <v>0</v>
      </c>
      <c r="M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 t="b">
        <v>0</v>
      </c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 t="b">
        <v>0</v>
      </c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 t="b">
        <v>0</v>
      </c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 t="b">
        <v>0</v>
      </c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 t="b">
        <v>0</v>
      </c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 t="b">
        <v>0</v>
      </c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 t="b">
        <v>0</v>
      </c>
      <c r="M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 t="b">
        <v>0</v>
      </c>
      <c r="M100" s="28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9" max="9" width="14.0"/>
    <col customWidth="1" min="10" max="10" width="15.0"/>
    <col customWidth="1" min="11" max="11" width="16.25"/>
    <col customWidth="1" min="12" max="12" width="51.88"/>
  </cols>
  <sheetData>
    <row r="1">
      <c r="A1" s="28" t="str">
        <f>IFERROR(__xludf.DUMMYFUNCTION("IMPORTRANGE(""https://docs.google.com/spreadsheets/d/1eO365hmI2Nm9_YssKGka92teOkoRD0uzSnM0r31D7ek/edit?pli=1#gid=606377111"",""2025 Will!A:J"")"),"Job #")</f>
        <v>Job #</v>
      </c>
      <c r="B1" s="28" t="str">
        <f>IFERROR(__xludf.DUMMYFUNCTION("""COMPUTED_VALUE"""),"Name")</f>
        <v>Name</v>
      </c>
      <c r="C1" s="28" t="str">
        <f>IFERROR(__xludf.DUMMYFUNCTION("""COMPUTED_VALUE"""),"Paid in Full")</f>
        <v>Paid in Full</v>
      </c>
      <c r="D1" s="28" t="str">
        <f>IFERROR(__xludf.DUMMYFUNCTION("""COMPUTED_VALUE"""),"GP %")</f>
        <v>GP %</v>
      </c>
      <c r="E1" s="28" t="str">
        <f>IFERROR(__xludf.DUMMYFUNCTION("""COMPUTED_VALUE"""),"Contract")</f>
        <v>Contract</v>
      </c>
      <c r="F1" s="28" t="str">
        <f>IFERROR(__xludf.DUMMYFUNCTION("""COMPUTED_VALUE"""),"Change Orders")</f>
        <v>Change Orders</v>
      </c>
      <c r="G1" s="29" t="str">
        <f>IFERROR(__xludf.DUMMYFUNCTION("""COMPUTED_VALUE"""),"Invoiced")</f>
        <v>Invoiced</v>
      </c>
      <c r="H1" s="28" t="str">
        <f>IFERROR(__xludf.DUMMYFUNCTION("""COMPUTED_VALUE"""),"Total Commission 0.5%")</f>
        <v>Total Commission 0.5%</v>
      </c>
      <c r="I1" s="29" t="str">
        <f>IFERROR(__xludf.DUMMYFUNCTION("""COMPUTED_VALUE"""),"Commission Paid")</f>
        <v>Commission Paid</v>
      </c>
      <c r="J1" s="29" t="str">
        <f>IFERROR(__xludf.DUMMYFUNCTION("""COMPUTED_VALUE"""),"Commission Owed")</f>
        <v>Commission Owed</v>
      </c>
      <c r="K1" s="28" t="s">
        <v>55</v>
      </c>
      <c r="L1" s="31" t="s">
        <v>148</v>
      </c>
    </row>
    <row r="2">
      <c r="A2" s="28">
        <f>IFERROR(__xludf.DUMMYFUNCTION("""COMPUTED_VALUE"""),2.0255001E7)</f>
        <v>20255001</v>
      </c>
      <c r="B2" s="28" t="str">
        <f>IFERROR(__xludf.DUMMYFUNCTION("""COMPUTED_VALUE"""),"Lauren Mccoy")</f>
        <v>Lauren Mccoy</v>
      </c>
      <c r="C2" s="28" t="b">
        <f>IFERROR(__xludf.DUMMYFUNCTION("""COMPUTED_VALUE"""),TRUE)</f>
        <v>1</v>
      </c>
      <c r="D2" s="51">
        <f>IFERROR(__xludf.DUMMYFUNCTION("""COMPUTED_VALUE"""),0.6570169491525424)</f>
        <v>0.6570169492</v>
      </c>
      <c r="E2" s="29">
        <f>IFERROR(__xludf.DUMMYFUNCTION("""COMPUTED_VALUE"""),1770.0)</f>
        <v>1770</v>
      </c>
      <c r="F2" s="29">
        <f>IFERROR(__xludf.DUMMYFUNCTION("""COMPUTED_VALUE"""),0.0)</f>
        <v>0</v>
      </c>
      <c r="G2" s="29">
        <f>IFERROR(__xludf.DUMMYFUNCTION("""COMPUTED_VALUE"""),1770.0)</f>
        <v>1770</v>
      </c>
      <c r="H2" s="29">
        <f>IFERROR(__xludf.DUMMYFUNCTION("""COMPUTED_VALUE"""),8.85)</f>
        <v>8.85</v>
      </c>
      <c r="I2" s="28"/>
      <c r="J2" s="29">
        <f>IFERROR(__xludf.DUMMYFUNCTION("""COMPUTED_VALUE"""),8.85)</f>
        <v>8.85</v>
      </c>
      <c r="K2" s="38" t="b">
        <v>0</v>
      </c>
      <c r="L2" s="38"/>
    </row>
    <row r="3">
      <c r="A3" s="41">
        <f>IFERROR(__xludf.DUMMYFUNCTION("""COMPUTED_VALUE"""),2.0255002E7)</f>
        <v>20255002</v>
      </c>
      <c r="B3" s="41" t="str">
        <f>IFERROR(__xludf.DUMMYFUNCTION("""COMPUTED_VALUE"""),"Dennis Hong")</f>
        <v>Dennis Hong</v>
      </c>
      <c r="C3" s="41" t="b">
        <f>IFERROR(__xludf.DUMMYFUNCTION("""COMPUTED_VALUE"""),TRUE)</f>
        <v>1</v>
      </c>
      <c r="D3" s="42" t="str">
        <f>IFERROR(__xludf.DUMMYFUNCTION("""COMPUTED_VALUE"""),"")</f>
        <v/>
      </c>
      <c r="E3" s="43">
        <f>IFERROR(__xludf.DUMMYFUNCTION("""COMPUTED_VALUE"""),0.0)</f>
        <v>0</v>
      </c>
      <c r="F3" s="43">
        <f>IFERROR(__xludf.DUMMYFUNCTION("""COMPUTED_VALUE"""),0.0)</f>
        <v>0</v>
      </c>
      <c r="G3" s="43">
        <f>IFERROR(__xludf.DUMMYFUNCTION("""COMPUTED_VALUE"""),0.0)</f>
        <v>0</v>
      </c>
      <c r="H3" s="43">
        <f>IFERROR(__xludf.DUMMYFUNCTION("""COMPUTED_VALUE"""),0.0)</f>
        <v>0</v>
      </c>
      <c r="I3" s="41"/>
      <c r="J3" s="43">
        <f>IFERROR(__xludf.DUMMYFUNCTION("""COMPUTED_VALUE"""),0.0)</f>
        <v>0</v>
      </c>
      <c r="K3" s="41" t="b">
        <v>0</v>
      </c>
      <c r="L3" s="28"/>
    </row>
    <row r="4">
      <c r="A4" s="28">
        <f>IFERROR(__xludf.DUMMYFUNCTION("""COMPUTED_VALUE"""),2.0255003E7)</f>
        <v>20255003</v>
      </c>
      <c r="B4" s="28" t="str">
        <f>IFERROR(__xludf.DUMMYFUNCTION("""COMPUTED_VALUE"""),"Doug Gregory")</f>
        <v>Doug Gregory</v>
      </c>
      <c r="C4" s="51" t="b">
        <f>IFERROR(__xludf.DUMMYFUNCTION("""COMPUTED_VALUE"""),TRUE)</f>
        <v>1</v>
      </c>
      <c r="D4" s="51">
        <f>IFERROR(__xludf.DUMMYFUNCTION("""COMPUTED_VALUE"""),0.17589325389711297)</f>
        <v>0.1758932539</v>
      </c>
      <c r="E4" s="29">
        <f>IFERROR(__xludf.DUMMYFUNCTION("""COMPUTED_VALUE"""),45266.0)</f>
        <v>45266</v>
      </c>
      <c r="F4" s="29">
        <f>IFERROR(__xludf.DUMMYFUNCTION("""COMPUTED_VALUE"""),1812.4400000000023)</f>
        <v>1812.44</v>
      </c>
      <c r="G4" s="29">
        <f>IFERROR(__xludf.DUMMYFUNCTION("""COMPUTED_VALUE"""),47078.44)</f>
        <v>47078.44</v>
      </c>
      <c r="H4" s="29">
        <f>IFERROR(__xludf.DUMMYFUNCTION("""COMPUTED_VALUE"""),235.3922)</f>
        <v>235.3922</v>
      </c>
      <c r="I4" s="28"/>
      <c r="J4" s="29">
        <f>IFERROR(__xludf.DUMMYFUNCTION("""COMPUTED_VALUE"""),235.3922)</f>
        <v>235.3922</v>
      </c>
      <c r="K4" s="28" t="b">
        <v>0</v>
      </c>
      <c r="L4" s="28"/>
    </row>
    <row r="5">
      <c r="A5" s="32">
        <f>IFERROR(__xludf.DUMMYFUNCTION("""COMPUTED_VALUE"""),2.0255004E7)</f>
        <v>20255004</v>
      </c>
      <c r="B5" s="32" t="str">
        <f>IFERROR(__xludf.DUMMYFUNCTION("""COMPUTED_VALUE"""),"Jennifer Willoughby")</f>
        <v>Jennifer Willoughby</v>
      </c>
      <c r="C5" s="33" t="b">
        <f>IFERROR(__xludf.DUMMYFUNCTION("""COMPUTED_VALUE"""),TRUE)</f>
        <v>1</v>
      </c>
      <c r="D5" s="33">
        <f>IFERROR(__xludf.DUMMYFUNCTION("""COMPUTED_VALUE"""),0.5674348778195252)</f>
        <v>0.5674348778</v>
      </c>
      <c r="E5" s="34">
        <f>IFERROR(__xludf.DUMMYFUNCTION("""COMPUTED_VALUE"""),15873.24)</f>
        <v>15873.24</v>
      </c>
      <c r="F5" s="34">
        <f>IFERROR(__xludf.DUMMYFUNCTION("""COMPUTED_VALUE"""),0.0)</f>
        <v>0</v>
      </c>
      <c r="G5" s="34">
        <f>IFERROR(__xludf.DUMMYFUNCTION("""COMPUTED_VALUE"""),15873.24)</f>
        <v>15873.24</v>
      </c>
      <c r="H5" s="34">
        <f>IFERROR(__xludf.DUMMYFUNCTION("""COMPUTED_VALUE"""),79.3662)</f>
        <v>79.3662</v>
      </c>
      <c r="I5" s="34">
        <f>IFERROR(__xludf.DUMMYFUNCTION("""COMPUTED_VALUE"""),79.3662)</f>
        <v>79.3662</v>
      </c>
      <c r="J5" s="34">
        <f>IFERROR(__xludf.DUMMYFUNCTION("""COMPUTED_VALUE"""),0.0)</f>
        <v>0</v>
      </c>
      <c r="K5" s="37" t="b">
        <v>0</v>
      </c>
      <c r="L5" s="28"/>
    </row>
    <row r="6">
      <c r="A6" s="32">
        <f>IFERROR(__xludf.DUMMYFUNCTION("""COMPUTED_VALUE"""),2.0255005E7)</f>
        <v>20255005</v>
      </c>
      <c r="B6" s="32" t="str">
        <f>IFERROR(__xludf.DUMMYFUNCTION("""COMPUTED_VALUE"""),"INS - Stephanie Quintor")</f>
        <v>INS - Stephanie Quintor</v>
      </c>
      <c r="C6" s="32" t="b">
        <f>IFERROR(__xludf.DUMMYFUNCTION("""COMPUTED_VALUE"""),TRUE)</f>
        <v>1</v>
      </c>
      <c r="D6" s="33">
        <f>IFERROR(__xludf.DUMMYFUNCTION("""COMPUTED_VALUE"""),0.6216253576411738)</f>
        <v>0.6216253576</v>
      </c>
      <c r="E6" s="34">
        <f>IFERROR(__xludf.DUMMYFUNCTION("""COMPUTED_VALUE"""),26697.13)</f>
        <v>26697.13</v>
      </c>
      <c r="F6" s="34">
        <f>IFERROR(__xludf.DUMMYFUNCTION("""COMPUTED_VALUE"""),21916.539999999997)</f>
        <v>21916.54</v>
      </c>
      <c r="G6" s="34">
        <f>IFERROR(__xludf.DUMMYFUNCTION("""COMPUTED_VALUE"""),36000.0)</f>
        <v>36000</v>
      </c>
      <c r="H6" s="34">
        <f>IFERROR(__xludf.DUMMYFUNCTION("""COMPUTED_VALUE"""),243.06835)</f>
        <v>243.06835</v>
      </c>
      <c r="I6" s="34">
        <f>IFERROR(__xludf.DUMMYFUNCTION("""COMPUTED_VALUE"""),180.0)</f>
        <v>180</v>
      </c>
      <c r="J6" s="34">
        <f>IFERROR(__xludf.DUMMYFUNCTION("""COMPUTED_VALUE"""),0.0)</f>
        <v>0</v>
      </c>
      <c r="K6" s="37" t="b">
        <v>0</v>
      </c>
      <c r="L6" s="28"/>
    </row>
    <row r="7">
      <c r="A7" s="32">
        <f>IFERROR(__xludf.DUMMYFUNCTION("""COMPUTED_VALUE"""),2.0255006E7)</f>
        <v>20255006</v>
      </c>
      <c r="B7" s="32" t="str">
        <f>IFERROR(__xludf.DUMMYFUNCTION("""COMPUTED_VALUE"""),"Bill Bechtel")</f>
        <v>Bill Bechtel</v>
      </c>
      <c r="C7" s="32" t="b">
        <f>IFERROR(__xludf.DUMMYFUNCTION("""COMPUTED_VALUE"""),TRUE)</f>
        <v>1</v>
      </c>
      <c r="D7" s="33">
        <f>IFERROR(__xludf.DUMMYFUNCTION("""COMPUTED_VALUE"""),0.2567206480898192)</f>
        <v>0.2567206481</v>
      </c>
      <c r="E7" s="34">
        <f>IFERROR(__xludf.DUMMYFUNCTION("""COMPUTED_VALUE"""),169424.05)</f>
        <v>169424.05</v>
      </c>
      <c r="F7" s="34">
        <f>IFERROR(__xludf.DUMMYFUNCTION("""COMPUTED_VALUE"""),9637.549999999988)</f>
        <v>9637.55</v>
      </c>
      <c r="G7" s="34">
        <f>IFERROR(__xludf.DUMMYFUNCTION("""COMPUTED_VALUE"""),124535.04)</f>
        <v>124535.04</v>
      </c>
      <c r="H7" s="34">
        <f>IFERROR(__xludf.DUMMYFUNCTION("""COMPUTED_VALUE"""),895.3079999999999)</f>
        <v>895.308</v>
      </c>
      <c r="I7" s="34">
        <f>IFERROR(__xludf.DUMMYFUNCTION("""COMPUTED_VALUE"""),181.81175)</f>
        <v>181.81175</v>
      </c>
      <c r="J7" s="34">
        <f>IFERROR(__xludf.DUMMYFUNCTION("""COMPUTED_VALUE"""),440.86345000000006)</f>
        <v>440.86345</v>
      </c>
      <c r="K7" s="37" t="b">
        <v>0</v>
      </c>
      <c r="L7" s="28"/>
    </row>
    <row r="8">
      <c r="A8" s="32">
        <f>IFERROR(__xludf.DUMMYFUNCTION("""COMPUTED_VALUE"""),2.0255007E7)</f>
        <v>20255007</v>
      </c>
      <c r="B8" s="32" t="str">
        <f>IFERROR(__xludf.DUMMYFUNCTION("""COMPUTED_VALUE"""),"Nathan Thomsen")</f>
        <v>Nathan Thomsen</v>
      </c>
      <c r="C8" s="33" t="b">
        <f>IFERROR(__xludf.DUMMYFUNCTION("""COMPUTED_VALUE"""),TRUE)</f>
        <v>1</v>
      </c>
      <c r="D8" s="33">
        <f>IFERROR(__xludf.DUMMYFUNCTION("""COMPUTED_VALUE"""),0.6043467834559705)</f>
        <v>0.6043467835</v>
      </c>
      <c r="E8" s="34">
        <f>IFERROR(__xludf.DUMMYFUNCTION("""COMPUTED_VALUE"""),792.31)</f>
        <v>792.31</v>
      </c>
      <c r="F8" s="34">
        <f>IFERROR(__xludf.DUMMYFUNCTION("""COMPUTED_VALUE"""),0.0)</f>
        <v>0</v>
      </c>
      <c r="G8" s="34">
        <f>IFERROR(__xludf.DUMMYFUNCTION("""COMPUTED_VALUE"""),792.31)</f>
        <v>792.31</v>
      </c>
      <c r="H8" s="34">
        <f>IFERROR(__xludf.DUMMYFUNCTION("""COMPUTED_VALUE"""),3.96155)</f>
        <v>3.96155</v>
      </c>
      <c r="I8" s="34">
        <f>IFERROR(__xludf.DUMMYFUNCTION("""COMPUTED_VALUE"""),3.96155)</f>
        <v>3.96155</v>
      </c>
      <c r="J8" s="34">
        <f>IFERROR(__xludf.DUMMYFUNCTION("""COMPUTED_VALUE"""),618.71365)</f>
        <v>618.71365</v>
      </c>
      <c r="K8" s="37" t="b">
        <v>0</v>
      </c>
      <c r="L8" s="28"/>
    </row>
    <row r="9">
      <c r="A9" s="32">
        <f>IFERROR(__xludf.DUMMYFUNCTION("""COMPUTED_VALUE"""),2.0255008E7)</f>
        <v>20255008</v>
      </c>
      <c r="B9" s="32" t="str">
        <f>IFERROR(__xludf.DUMMYFUNCTION("""COMPUTED_VALUE"""),"Kathy Cornell")</f>
        <v>Kathy Cornell</v>
      </c>
      <c r="C9" s="32" t="b">
        <f>IFERROR(__xludf.DUMMYFUNCTION("""COMPUTED_VALUE"""),TRUE)</f>
        <v>1</v>
      </c>
      <c r="D9" s="33">
        <f>IFERROR(__xludf.DUMMYFUNCTION("""COMPUTED_VALUE"""),0.559748427672956)</f>
        <v>0.5597484277</v>
      </c>
      <c r="E9" s="34">
        <f>IFERROR(__xludf.DUMMYFUNCTION("""COMPUTED_VALUE"""),1908.0)</f>
        <v>1908</v>
      </c>
      <c r="F9" s="34">
        <f>IFERROR(__xludf.DUMMYFUNCTION("""COMPUTED_VALUE"""),0.0)</f>
        <v>0</v>
      </c>
      <c r="G9" s="34">
        <f>IFERROR(__xludf.DUMMYFUNCTION("""COMPUTED_VALUE"""),1908.0)</f>
        <v>1908</v>
      </c>
      <c r="H9" s="34">
        <f>IFERROR(__xludf.DUMMYFUNCTION("""COMPUTED_VALUE"""),9.540000000000001)</f>
        <v>9.54</v>
      </c>
      <c r="I9" s="34">
        <f>IFERROR(__xludf.DUMMYFUNCTION("""COMPUTED_VALUE"""),9.540000000000001)</f>
        <v>9.54</v>
      </c>
      <c r="J9" s="34">
        <f>IFERROR(__xludf.DUMMYFUNCTION("""COMPUTED_VALUE"""),0.0)</f>
        <v>0</v>
      </c>
      <c r="K9" s="37" t="b">
        <v>0</v>
      </c>
      <c r="L9" s="28"/>
    </row>
    <row r="10">
      <c r="A10" s="32">
        <f>IFERROR(__xludf.DUMMYFUNCTION("""COMPUTED_VALUE"""),2.0255009E7)</f>
        <v>20255009</v>
      </c>
      <c r="B10" s="32" t="str">
        <f>IFERROR(__xludf.DUMMYFUNCTION("""COMPUTED_VALUE"""),"Loren Westfall")</f>
        <v>Loren Westfall</v>
      </c>
      <c r="C10" s="32" t="b">
        <f>IFERROR(__xludf.DUMMYFUNCTION("""COMPUTED_VALUE"""),TRUE)</f>
        <v>1</v>
      </c>
      <c r="D10" s="33">
        <f>IFERROR(__xludf.DUMMYFUNCTION("""COMPUTED_VALUE"""),0.19336031361416334)</f>
        <v>0.1933603136</v>
      </c>
      <c r="E10" s="34">
        <f>IFERROR(__xludf.DUMMYFUNCTION("""COMPUTED_VALUE"""),43510.79)</f>
        <v>43510.79</v>
      </c>
      <c r="F10" s="34">
        <f>IFERROR(__xludf.DUMMYFUNCTION("""COMPUTED_VALUE"""),0.0)</f>
        <v>0</v>
      </c>
      <c r="G10" s="34">
        <f>IFERROR(__xludf.DUMMYFUNCTION("""COMPUTED_VALUE"""),53510.79)</f>
        <v>53510.79</v>
      </c>
      <c r="H10" s="34">
        <f>IFERROR(__xludf.DUMMYFUNCTION("""COMPUTED_VALUE"""),217.55395000000001)</f>
        <v>217.55395</v>
      </c>
      <c r="I10" s="34">
        <f>IFERROR(__xludf.DUMMYFUNCTION("""COMPUTED_VALUE"""),50.0)</f>
        <v>50</v>
      </c>
      <c r="J10" s="34">
        <f>IFERROR(__xludf.DUMMYFUNCTION("""COMPUTED_VALUE"""),217.55395)</f>
        <v>217.55395</v>
      </c>
      <c r="K10" s="37" t="b">
        <v>0</v>
      </c>
      <c r="L10" s="28"/>
    </row>
    <row r="11">
      <c r="A11" s="32">
        <f>IFERROR(__xludf.DUMMYFUNCTION("""COMPUTED_VALUE"""),2.025501E7)</f>
        <v>20255010</v>
      </c>
      <c r="B11" s="32" t="str">
        <f>IFERROR(__xludf.DUMMYFUNCTION("""COMPUTED_VALUE"""),"Deborah Tippie")</f>
        <v>Deborah Tippie</v>
      </c>
      <c r="C11" s="32" t="b">
        <f>IFERROR(__xludf.DUMMYFUNCTION("""COMPUTED_VALUE"""),TRUE)</f>
        <v>1</v>
      </c>
      <c r="D11" s="33">
        <f>IFERROR(__xludf.DUMMYFUNCTION("""COMPUTED_VALUE"""),0.4145004334330696)</f>
        <v>0.4145004334</v>
      </c>
      <c r="E11" s="34">
        <f>IFERROR(__xludf.DUMMYFUNCTION("""COMPUTED_VALUE"""),14404.4)</f>
        <v>14404.4</v>
      </c>
      <c r="F11" s="34">
        <f>IFERROR(__xludf.DUMMYFUNCTION("""COMPUTED_VALUE"""),-100.0)</f>
        <v>-100</v>
      </c>
      <c r="G11" s="34">
        <f>IFERROR(__xludf.DUMMYFUNCTION("""COMPUTED_VALUE"""),14304.4)</f>
        <v>14304.4</v>
      </c>
      <c r="H11" s="34">
        <f>IFERROR(__xludf.DUMMYFUNCTION("""COMPUTED_VALUE"""),71.522)</f>
        <v>71.522</v>
      </c>
      <c r="I11" s="34">
        <f>IFERROR(__xludf.DUMMYFUNCTION("""COMPUTED_VALUE"""),71.522)</f>
        <v>71.522</v>
      </c>
      <c r="J11" s="34">
        <f>IFERROR(__xludf.DUMMYFUNCTION("""COMPUTED_VALUE"""),196.03195)</f>
        <v>196.03195</v>
      </c>
      <c r="K11" s="37" t="b">
        <v>0</v>
      </c>
      <c r="L11" s="28"/>
    </row>
    <row r="12">
      <c r="A12" s="32">
        <f>IFERROR(__xludf.DUMMYFUNCTION("""COMPUTED_VALUE"""),2.0255011E7)</f>
        <v>20255011</v>
      </c>
      <c r="B12" s="32" t="str">
        <f>IFERROR(__xludf.DUMMYFUNCTION("""COMPUTED_VALUE"""),"Eric Lovely")</f>
        <v>Eric Lovely</v>
      </c>
      <c r="C12" s="32" t="b">
        <f>IFERROR(__xludf.DUMMYFUNCTION("""COMPUTED_VALUE"""),TRUE)</f>
        <v>1</v>
      </c>
      <c r="D12" s="33">
        <f>IFERROR(__xludf.DUMMYFUNCTION("""COMPUTED_VALUE"""),0.99995)</f>
        <v>0.99995</v>
      </c>
      <c r="E12" s="34">
        <f>IFERROR(__xludf.DUMMYFUNCTION("""COMPUTED_VALUE"""),200.0)</f>
        <v>200</v>
      </c>
      <c r="F12" s="34">
        <f>IFERROR(__xludf.DUMMYFUNCTION("""COMPUTED_VALUE"""),0.0)</f>
        <v>0</v>
      </c>
      <c r="G12" s="34">
        <f>IFERROR(__xludf.DUMMYFUNCTION("""COMPUTED_VALUE"""),200.0)</f>
        <v>200</v>
      </c>
      <c r="H12" s="34">
        <f>IFERROR(__xludf.DUMMYFUNCTION("""COMPUTED_VALUE"""),1.0)</f>
        <v>1</v>
      </c>
      <c r="I12" s="34">
        <f>IFERROR(__xludf.DUMMYFUNCTION("""COMPUTED_VALUE"""),1.0)</f>
        <v>1</v>
      </c>
      <c r="J12" s="34">
        <f>IFERROR(__xludf.DUMMYFUNCTION("""COMPUTED_VALUE"""),0.0)</f>
        <v>0</v>
      </c>
      <c r="K12" s="37" t="b">
        <v>0</v>
      </c>
      <c r="L12" s="28"/>
    </row>
    <row r="13">
      <c r="A13" s="32">
        <f>IFERROR(__xludf.DUMMYFUNCTION("""COMPUTED_VALUE"""),2.0255012E7)</f>
        <v>20255012</v>
      </c>
      <c r="B13" s="32" t="str">
        <f>IFERROR(__xludf.DUMMYFUNCTION("""COMPUTED_VALUE"""),"Troy Blanchard")</f>
        <v>Troy Blanchard</v>
      </c>
      <c r="C13" s="33" t="b">
        <f>IFERROR(__xludf.DUMMYFUNCTION("""COMPUTED_VALUE"""),TRUE)</f>
        <v>1</v>
      </c>
      <c r="D13" s="33">
        <f>IFERROR(__xludf.DUMMYFUNCTION("""COMPUTED_VALUE"""),0.6814469990008762)</f>
        <v>0.681446999</v>
      </c>
      <c r="E13" s="34">
        <f>IFERROR(__xludf.DUMMYFUNCTION("""COMPUTED_VALUE"""),1791.57)</f>
        <v>1791.57</v>
      </c>
      <c r="F13" s="34">
        <f>IFERROR(__xludf.DUMMYFUNCTION("""COMPUTED_VALUE"""),0.0)</f>
        <v>0</v>
      </c>
      <c r="G13" s="34">
        <f>IFERROR(__xludf.DUMMYFUNCTION("""COMPUTED_VALUE"""),1791.57)</f>
        <v>1791.57</v>
      </c>
      <c r="H13" s="34">
        <f>IFERROR(__xludf.DUMMYFUNCTION("""COMPUTED_VALUE"""),8.95785)</f>
        <v>8.95785</v>
      </c>
      <c r="I13" s="34">
        <f>IFERROR(__xludf.DUMMYFUNCTION("""COMPUTED_VALUE"""),8.95785)</f>
        <v>8.95785</v>
      </c>
      <c r="J13" s="34">
        <f>IFERROR(__xludf.DUMMYFUNCTION("""COMPUTED_VALUE"""),0.0)</f>
        <v>0</v>
      </c>
      <c r="K13" s="37" t="b">
        <v>0</v>
      </c>
      <c r="L13" s="28"/>
    </row>
    <row r="14">
      <c r="A14" s="32">
        <f>IFERROR(__xludf.DUMMYFUNCTION("""COMPUTED_VALUE"""),2.0255013E7)</f>
        <v>20255013</v>
      </c>
      <c r="B14" s="32" t="str">
        <f>IFERROR(__xludf.DUMMYFUNCTION("""COMPUTED_VALUE"""),"Steve Truskowski")</f>
        <v>Steve Truskowski</v>
      </c>
      <c r="C14" s="32" t="b">
        <f>IFERROR(__xludf.DUMMYFUNCTION("""COMPUTED_VALUE"""),TRUE)</f>
        <v>1</v>
      </c>
      <c r="D14" s="33">
        <f>IFERROR(__xludf.DUMMYFUNCTION("""COMPUTED_VALUE"""),0.5)</f>
        <v>0.5</v>
      </c>
      <c r="E14" s="34">
        <f>IFERROR(__xludf.DUMMYFUNCTION("""COMPUTED_VALUE"""),1750.0)</f>
        <v>1750</v>
      </c>
      <c r="F14" s="34">
        <f>IFERROR(__xludf.DUMMYFUNCTION("""COMPUTED_VALUE"""),0.0)</f>
        <v>0</v>
      </c>
      <c r="G14" s="34">
        <f>IFERROR(__xludf.DUMMYFUNCTION("""COMPUTED_VALUE"""),1750.0)</f>
        <v>1750</v>
      </c>
      <c r="H14" s="34">
        <f>IFERROR(__xludf.DUMMYFUNCTION("""COMPUTED_VALUE"""),8.75)</f>
        <v>8.75</v>
      </c>
      <c r="I14" s="34">
        <f>IFERROR(__xludf.DUMMYFUNCTION("""COMPUTED_VALUE"""),8.75)</f>
        <v>8.75</v>
      </c>
      <c r="J14" s="34">
        <f>IFERROR(__xludf.DUMMYFUNCTION("""COMPUTED_VALUE"""),0.0)</f>
        <v>0</v>
      </c>
      <c r="K14" s="37" t="b">
        <v>0</v>
      </c>
      <c r="L14" s="28"/>
    </row>
    <row r="15">
      <c r="A15" s="32">
        <f>IFERROR(__xludf.DUMMYFUNCTION("""COMPUTED_VALUE"""),2.0255014E7)</f>
        <v>20255014</v>
      </c>
      <c r="B15" s="32" t="str">
        <f>IFERROR(__xludf.DUMMYFUNCTION("""COMPUTED_VALUE"""),"HBC Garage Siding")</f>
        <v>HBC Garage Siding</v>
      </c>
      <c r="C15" s="32" t="b">
        <f>IFERROR(__xludf.DUMMYFUNCTION("""COMPUTED_VALUE"""),TRUE)</f>
        <v>1</v>
      </c>
      <c r="D15" s="33">
        <f>IFERROR(__xludf.DUMMYFUNCTION("""COMPUTED_VALUE"""),0.39086361491269467)</f>
        <v>0.3908636149</v>
      </c>
      <c r="E15" s="34">
        <f>IFERROR(__xludf.DUMMYFUNCTION("""COMPUTED_VALUE"""),4388.0)</f>
        <v>4388</v>
      </c>
      <c r="F15" s="34">
        <f>IFERROR(__xludf.DUMMYFUNCTION("""COMPUTED_VALUE"""),-150.0)</f>
        <v>-150</v>
      </c>
      <c r="G15" s="34">
        <f>IFERROR(__xludf.DUMMYFUNCTION("""COMPUTED_VALUE"""),4238.0)</f>
        <v>4238</v>
      </c>
      <c r="H15" s="34">
        <f>IFERROR(__xludf.DUMMYFUNCTION("""COMPUTED_VALUE"""),21.19)</f>
        <v>21.19</v>
      </c>
      <c r="I15" s="34">
        <f>IFERROR(__xludf.DUMMYFUNCTION("""COMPUTED_VALUE"""),21.19)</f>
        <v>21.19</v>
      </c>
      <c r="J15" s="34">
        <f>IFERROR(__xludf.DUMMYFUNCTION("""COMPUTED_VALUE"""),0.0)</f>
        <v>0</v>
      </c>
      <c r="K15" s="37" t="b">
        <v>0</v>
      </c>
      <c r="L15" s="28"/>
    </row>
    <row r="16">
      <c r="A16" s="32">
        <f>IFERROR(__xludf.DUMMYFUNCTION("""COMPUTED_VALUE"""),2.0255015E7)</f>
        <v>20255015</v>
      </c>
      <c r="B16" s="32" t="str">
        <f>IFERROR(__xludf.DUMMYFUNCTION("""COMPUTED_VALUE"""),"INS - Rachel Carr")</f>
        <v>INS - Rachel Carr</v>
      </c>
      <c r="C16" s="33" t="b">
        <f>IFERROR(__xludf.DUMMYFUNCTION("""COMPUTED_VALUE"""),TRUE)</f>
        <v>1</v>
      </c>
      <c r="D16" s="33">
        <f>IFERROR(__xludf.DUMMYFUNCTION("""COMPUTED_VALUE"""),0.4444115620130887)</f>
        <v>0.444411562</v>
      </c>
      <c r="E16" s="34">
        <f>IFERROR(__xludf.DUMMYFUNCTION("""COMPUTED_VALUE"""),12984.79)</f>
        <v>12984.79</v>
      </c>
      <c r="F16" s="34">
        <f>IFERROR(__xludf.DUMMYFUNCTION("""COMPUTED_VALUE"""),3978.0)</f>
        <v>3978</v>
      </c>
      <c r="G16" s="34">
        <f>IFERROR(__xludf.DUMMYFUNCTION("""COMPUTED_VALUE"""),16962.79)</f>
        <v>16962.79</v>
      </c>
      <c r="H16" s="34">
        <f>IFERROR(__xludf.DUMMYFUNCTION("""COMPUTED_VALUE"""),84.81395)</f>
        <v>84.81395</v>
      </c>
      <c r="I16" s="34">
        <f>IFERROR(__xludf.DUMMYFUNCTION("""COMPUTED_VALUE"""),84.81395)</f>
        <v>84.81395</v>
      </c>
      <c r="J16" s="34">
        <f>IFERROR(__xludf.DUMMYFUNCTION("""COMPUTED_VALUE"""),0.0)</f>
        <v>0</v>
      </c>
      <c r="K16" s="37" t="b">
        <v>0</v>
      </c>
      <c r="L16" s="28"/>
    </row>
    <row r="17">
      <c r="A17" s="32">
        <f>IFERROR(__xludf.DUMMYFUNCTION("""COMPUTED_VALUE"""),2.0255016E7)</f>
        <v>20255016</v>
      </c>
      <c r="B17" s="32" t="str">
        <f>IFERROR(__xludf.DUMMYFUNCTION("""COMPUTED_VALUE"""),"INS - Joshua Bonzelaar")</f>
        <v>INS - Joshua Bonzelaar</v>
      </c>
      <c r="C17" s="32" t="b">
        <f>IFERROR(__xludf.DUMMYFUNCTION("""COMPUTED_VALUE"""),TRUE)</f>
        <v>1</v>
      </c>
      <c r="D17" s="33">
        <f>IFERROR(__xludf.DUMMYFUNCTION("""COMPUTED_VALUE"""),0.5576800957926802)</f>
        <v>0.5576800958</v>
      </c>
      <c r="E17" s="34">
        <f>IFERROR(__xludf.DUMMYFUNCTION("""COMPUTED_VALUE"""),20546.52)</f>
        <v>20546.52</v>
      </c>
      <c r="F17" s="34">
        <f>IFERROR(__xludf.DUMMYFUNCTION("""COMPUTED_VALUE"""),5200.75)</f>
        <v>5200.75</v>
      </c>
      <c r="G17" s="34">
        <f>IFERROR(__xludf.DUMMYFUNCTION("""COMPUTED_VALUE"""),24640.83)</f>
        <v>24640.83</v>
      </c>
      <c r="H17" s="34">
        <f>IFERROR(__xludf.DUMMYFUNCTION("""COMPUTED_VALUE"""),128.73635000000002)</f>
        <v>128.73635</v>
      </c>
      <c r="I17" s="34">
        <f>IFERROR(__xludf.DUMMYFUNCTION("""COMPUTED_VALUE"""),84.3697)</f>
        <v>84.3697</v>
      </c>
      <c r="J17" s="34">
        <f>IFERROR(__xludf.DUMMYFUNCTION("""COMPUTED_VALUE"""),38.83445000000002)</f>
        <v>38.83445</v>
      </c>
      <c r="K17" s="37" t="b">
        <v>0</v>
      </c>
      <c r="L17" s="28"/>
    </row>
    <row r="18">
      <c r="A18" s="32">
        <f>IFERROR(__xludf.DUMMYFUNCTION("""COMPUTED_VALUE"""),2.0255017E7)</f>
        <v>20255017</v>
      </c>
      <c r="B18" s="32" t="str">
        <f>IFERROR(__xludf.DUMMYFUNCTION("""COMPUTED_VALUE"""),"Gina Schweiterman")</f>
        <v>Gina Schweiterman</v>
      </c>
      <c r="C18" s="33" t="b">
        <f>IFERROR(__xludf.DUMMYFUNCTION("""COMPUTED_VALUE"""),TRUE)</f>
        <v>1</v>
      </c>
      <c r="D18" s="33">
        <f>IFERROR(__xludf.DUMMYFUNCTION("""COMPUTED_VALUE"""),0.6790034423738919)</f>
        <v>0.6790034424</v>
      </c>
      <c r="E18" s="34">
        <f>IFERROR(__xludf.DUMMYFUNCTION("""COMPUTED_VALUE"""),1039.98)</f>
        <v>1039.98</v>
      </c>
      <c r="F18" s="34">
        <f>IFERROR(__xludf.DUMMYFUNCTION("""COMPUTED_VALUE"""),0.0)</f>
        <v>0</v>
      </c>
      <c r="G18" s="34">
        <f>IFERROR(__xludf.DUMMYFUNCTION("""COMPUTED_VALUE"""),1039.98)</f>
        <v>1039.98</v>
      </c>
      <c r="H18" s="34">
        <f>IFERROR(__xludf.DUMMYFUNCTION("""COMPUTED_VALUE"""),5.1999)</f>
        <v>5.1999</v>
      </c>
      <c r="I18" s="34">
        <f>IFERROR(__xludf.DUMMYFUNCTION("""COMPUTED_VALUE"""),5.1999)</f>
        <v>5.1999</v>
      </c>
      <c r="J18" s="34">
        <f>IFERROR(__xludf.DUMMYFUNCTION("""COMPUTED_VALUE"""),118.00425000000001)</f>
        <v>118.00425</v>
      </c>
      <c r="K18" s="37" t="b">
        <v>0</v>
      </c>
      <c r="L18" s="28"/>
    </row>
    <row r="19">
      <c r="A19" s="28">
        <f>IFERROR(__xludf.DUMMYFUNCTION("""COMPUTED_VALUE"""),2.0255018E7)</f>
        <v>20255018</v>
      </c>
      <c r="B19" s="28" t="str">
        <f>IFERROR(__xludf.DUMMYFUNCTION("""COMPUTED_VALUE"""),"INS - Ryan Horan")</f>
        <v>INS - Ryan Horan</v>
      </c>
      <c r="C19" s="28" t="b">
        <f>IFERROR(__xludf.DUMMYFUNCTION("""COMPUTED_VALUE"""),TRUE)</f>
        <v>1</v>
      </c>
      <c r="D19" s="51">
        <f>IFERROR(__xludf.DUMMYFUNCTION("""COMPUTED_VALUE"""),0.5772536101085624)</f>
        <v>0.5772536101</v>
      </c>
      <c r="E19" s="29">
        <f>IFERROR(__xludf.DUMMYFUNCTION("""COMPUTED_VALUE"""),48190.26)</f>
        <v>48190.26</v>
      </c>
      <c r="F19" s="29">
        <f>IFERROR(__xludf.DUMMYFUNCTION("""COMPUTED_VALUE"""),-13359.590000000004)</f>
        <v>-13359.59</v>
      </c>
      <c r="G19" s="29">
        <f>IFERROR(__xludf.DUMMYFUNCTION("""COMPUTED_VALUE"""),34830.67)</f>
        <v>34830.67</v>
      </c>
      <c r="H19" s="29">
        <f>IFERROR(__xludf.DUMMYFUNCTION("""COMPUTED_VALUE"""),174.15335)</f>
        <v>174.15335</v>
      </c>
      <c r="I19" s="28"/>
      <c r="J19" s="29">
        <f>IFERROR(__xludf.DUMMYFUNCTION("""COMPUTED_VALUE"""),174.15335)</f>
        <v>174.15335</v>
      </c>
      <c r="K19" s="28" t="b">
        <v>0</v>
      </c>
      <c r="L19" s="28"/>
    </row>
    <row r="20">
      <c r="A20" s="32">
        <f>IFERROR(__xludf.DUMMYFUNCTION("""COMPUTED_VALUE"""),2.0255019E7)</f>
        <v>20255019</v>
      </c>
      <c r="B20" s="32" t="str">
        <f>IFERROR(__xludf.DUMMYFUNCTION("""COMPUTED_VALUE"""),"Andrew &amp; Lynn Evans")</f>
        <v>Andrew &amp; Lynn Evans</v>
      </c>
      <c r="C20" s="33" t="b">
        <f>IFERROR(__xludf.DUMMYFUNCTION("""COMPUTED_VALUE"""),TRUE)</f>
        <v>1</v>
      </c>
      <c r="D20" s="33">
        <f>IFERROR(__xludf.DUMMYFUNCTION("""COMPUTED_VALUE"""),0.4409346700920841)</f>
        <v>0.4409346701</v>
      </c>
      <c r="E20" s="34">
        <f>IFERROR(__xludf.DUMMYFUNCTION("""COMPUTED_VALUE"""),16673.22)</f>
        <v>16673.22</v>
      </c>
      <c r="F20" s="34">
        <f>IFERROR(__xludf.DUMMYFUNCTION("""COMPUTED_VALUE"""),1925.0)</f>
        <v>1925</v>
      </c>
      <c r="G20" s="34">
        <f>IFERROR(__xludf.DUMMYFUNCTION("""COMPUTED_VALUE"""),18598.22)</f>
        <v>18598.22</v>
      </c>
      <c r="H20" s="34">
        <f>IFERROR(__xludf.DUMMYFUNCTION("""COMPUTED_VALUE"""),92.9911)</f>
        <v>92.9911</v>
      </c>
      <c r="I20" s="34">
        <f>IFERROR(__xludf.DUMMYFUNCTION("""COMPUTED_VALUE"""),92.9911)</f>
        <v>92.9911</v>
      </c>
      <c r="J20" s="34">
        <f>IFERROR(__xludf.DUMMYFUNCTION("""COMPUTED_VALUE"""),81.16224999999999)</f>
        <v>81.16225</v>
      </c>
      <c r="K20" s="37" t="b">
        <v>0</v>
      </c>
      <c r="L20" s="28"/>
    </row>
    <row r="21">
      <c r="A21" s="32">
        <f>IFERROR(__xludf.DUMMYFUNCTION("""COMPUTED_VALUE"""),2.025502E7)</f>
        <v>20255020</v>
      </c>
      <c r="B21" s="32" t="str">
        <f>IFERROR(__xludf.DUMMYFUNCTION("""COMPUTED_VALUE"""),"Lorraine Wood")</f>
        <v>Lorraine Wood</v>
      </c>
      <c r="C21" s="33" t="b">
        <f>IFERROR(__xludf.DUMMYFUNCTION("""COMPUTED_VALUE"""),TRUE)</f>
        <v>1</v>
      </c>
      <c r="D21" s="33">
        <f>IFERROR(__xludf.DUMMYFUNCTION("""COMPUTED_VALUE"""),0.460972240837026)</f>
        <v>0.4609722408</v>
      </c>
      <c r="E21" s="34">
        <f>IFERROR(__xludf.DUMMYFUNCTION("""COMPUTED_VALUE"""),18577.11)</f>
        <v>18577.11</v>
      </c>
      <c r="F21" s="34">
        <f>IFERROR(__xludf.DUMMYFUNCTION("""COMPUTED_VALUE"""),3135.0)</f>
        <v>3135</v>
      </c>
      <c r="G21" s="34">
        <f>IFERROR(__xludf.DUMMYFUNCTION("""COMPUTED_VALUE"""),21712.11)</f>
        <v>21712.11</v>
      </c>
      <c r="H21" s="34">
        <f>IFERROR(__xludf.DUMMYFUNCTION("""COMPUTED_VALUE"""),108.56055)</f>
        <v>108.56055</v>
      </c>
      <c r="I21" s="34">
        <f>IFERROR(__xludf.DUMMYFUNCTION("""COMPUTED_VALUE"""),108.56055)</f>
        <v>108.56055</v>
      </c>
      <c r="J21" s="34">
        <f>IFERROR(__xludf.DUMMYFUNCTION("""COMPUTED_VALUE"""),0.0)</f>
        <v>0</v>
      </c>
      <c r="K21" s="37" t="b">
        <v>0</v>
      </c>
      <c r="L21" s="28"/>
    </row>
    <row r="22">
      <c r="A22" s="62">
        <f>IFERROR(__xludf.DUMMYFUNCTION("""COMPUTED_VALUE"""),2.0255021E7)</f>
        <v>20255021</v>
      </c>
      <c r="B22" s="62" t="str">
        <f>IFERROR(__xludf.DUMMYFUNCTION("""COMPUTED_VALUE"""),"Tom Watkin")</f>
        <v>Tom Watkin</v>
      </c>
      <c r="C22" s="62" t="b">
        <f>IFERROR(__xludf.DUMMYFUNCTION("""COMPUTED_VALUE"""),TRUE)</f>
        <v>1</v>
      </c>
      <c r="D22" s="39">
        <f>IFERROR(__xludf.DUMMYFUNCTION("""COMPUTED_VALUE"""),0.20732781501379585)</f>
        <v>0.207327815</v>
      </c>
      <c r="E22" s="63">
        <f>IFERROR(__xludf.DUMMYFUNCTION("""COMPUTED_VALUE"""),1714.29)</f>
        <v>1714.29</v>
      </c>
      <c r="F22" s="63">
        <f>IFERROR(__xludf.DUMMYFUNCTION("""COMPUTED_VALUE"""),0.0)</f>
        <v>0</v>
      </c>
      <c r="G22" s="63">
        <f>IFERROR(__xludf.DUMMYFUNCTION("""COMPUTED_VALUE"""),1714.29)</f>
        <v>1714.29</v>
      </c>
      <c r="H22" s="63">
        <f>IFERROR(__xludf.DUMMYFUNCTION("""COMPUTED_VALUE"""),8.57145)</f>
        <v>8.57145</v>
      </c>
      <c r="I22" s="63">
        <f>IFERROR(__xludf.DUMMYFUNCTION("""COMPUTED_VALUE"""),8.57145)</f>
        <v>8.57145</v>
      </c>
      <c r="J22" s="63">
        <f>IFERROR(__xludf.DUMMYFUNCTION("""COMPUTED_VALUE"""),0.0)</f>
        <v>0</v>
      </c>
      <c r="K22" s="64" t="b">
        <v>0</v>
      </c>
      <c r="L22" s="28"/>
    </row>
    <row r="23">
      <c r="A23" s="32">
        <f>IFERROR(__xludf.DUMMYFUNCTION("""COMPUTED_VALUE"""),2.0255022E7)</f>
        <v>20255022</v>
      </c>
      <c r="B23" s="32" t="str">
        <f>IFERROR(__xludf.DUMMYFUNCTION("""COMPUTED_VALUE"""),"Janice Motz")</f>
        <v>Janice Motz</v>
      </c>
      <c r="C23" s="33" t="b">
        <f>IFERROR(__xludf.DUMMYFUNCTION("""COMPUTED_VALUE"""),TRUE)</f>
        <v>1</v>
      </c>
      <c r="D23" s="33">
        <f>IFERROR(__xludf.DUMMYFUNCTION("""COMPUTED_VALUE"""),0.5630689146323042)</f>
        <v>0.5630689146</v>
      </c>
      <c r="E23" s="34">
        <f>IFERROR(__xludf.DUMMYFUNCTION("""COMPUTED_VALUE"""),12309.45)</f>
        <v>12309.45</v>
      </c>
      <c r="F23" s="34">
        <f>IFERROR(__xludf.DUMMYFUNCTION("""COMPUTED_VALUE"""),600.0)</f>
        <v>600</v>
      </c>
      <c r="G23" s="34">
        <f>IFERROR(__xludf.DUMMYFUNCTION("""COMPUTED_VALUE"""),12909.45)</f>
        <v>12909.45</v>
      </c>
      <c r="H23" s="34">
        <f>IFERROR(__xludf.DUMMYFUNCTION("""COMPUTED_VALUE"""),64.54725)</f>
        <v>64.54725</v>
      </c>
      <c r="I23" s="34">
        <f>IFERROR(__xludf.DUMMYFUNCTION("""COMPUTED_VALUE"""),64.54725)</f>
        <v>64.54725</v>
      </c>
      <c r="J23" s="34">
        <f>IFERROR(__xludf.DUMMYFUNCTION("""COMPUTED_VALUE"""),0.0)</f>
        <v>0</v>
      </c>
      <c r="K23" s="37" t="b">
        <v>0</v>
      </c>
      <c r="L23" s="28"/>
    </row>
    <row r="24">
      <c r="A24" s="32">
        <f>IFERROR(__xludf.DUMMYFUNCTION("""COMPUTED_VALUE"""),2.0255023E7)</f>
        <v>20255023</v>
      </c>
      <c r="B24" s="32" t="str">
        <f>IFERROR(__xludf.DUMMYFUNCTION("""COMPUTED_VALUE"""),"Cory Leckey")</f>
        <v>Cory Leckey</v>
      </c>
      <c r="C24" s="33" t="b">
        <f>IFERROR(__xludf.DUMMYFUNCTION("""COMPUTED_VALUE"""),TRUE)</f>
        <v>1</v>
      </c>
      <c r="D24" s="33">
        <f>IFERROR(__xludf.DUMMYFUNCTION("""COMPUTED_VALUE"""),0.4004355206951452)</f>
        <v>0.4004355207</v>
      </c>
      <c r="E24" s="34">
        <f>IFERROR(__xludf.DUMMYFUNCTION("""COMPUTED_VALUE"""),10824.89)</f>
        <v>10824.89</v>
      </c>
      <c r="F24" s="34">
        <f>IFERROR(__xludf.DUMMYFUNCTION("""COMPUTED_VALUE"""),550.0)</f>
        <v>550</v>
      </c>
      <c r="G24" s="34">
        <f>IFERROR(__xludf.DUMMYFUNCTION("""COMPUTED_VALUE"""),11374.89)</f>
        <v>11374.89</v>
      </c>
      <c r="H24" s="34">
        <f>IFERROR(__xludf.DUMMYFUNCTION("""COMPUTED_VALUE"""),56.874449999999996)</f>
        <v>56.87445</v>
      </c>
      <c r="I24" s="34">
        <f>IFERROR(__xludf.DUMMYFUNCTION("""COMPUTED_VALUE"""),56.874449999999996)</f>
        <v>56.87445</v>
      </c>
      <c r="J24" s="34">
        <f>IFERROR(__xludf.DUMMYFUNCTION("""COMPUTED_VALUE"""),0.0)</f>
        <v>0</v>
      </c>
      <c r="K24" s="37" t="b">
        <v>0</v>
      </c>
      <c r="L24" s="28"/>
    </row>
    <row r="25">
      <c r="A25" s="32">
        <f>IFERROR(__xludf.DUMMYFUNCTION("""COMPUTED_VALUE"""),2.0255024E7)</f>
        <v>20255024</v>
      </c>
      <c r="B25" s="32" t="str">
        <f>IFERROR(__xludf.DUMMYFUNCTION("""COMPUTED_VALUE"""),"Kimberleigh Cooper")</f>
        <v>Kimberleigh Cooper</v>
      </c>
      <c r="C25" s="33" t="b">
        <f>IFERROR(__xludf.DUMMYFUNCTION("""COMPUTED_VALUE"""),TRUE)</f>
        <v>1</v>
      </c>
      <c r="D25" s="33">
        <f>IFERROR(__xludf.DUMMYFUNCTION("""COMPUTED_VALUE"""),0.6660297740173503)</f>
        <v>0.666029774</v>
      </c>
      <c r="E25" s="34">
        <f>IFERROR(__xludf.DUMMYFUNCTION("""COMPUTED_VALUE"""),2334.25)</f>
        <v>2334.25</v>
      </c>
      <c r="F25" s="34">
        <f>IFERROR(__xludf.DUMMYFUNCTION("""COMPUTED_VALUE"""),0.0)</f>
        <v>0</v>
      </c>
      <c r="G25" s="34">
        <f>IFERROR(__xludf.DUMMYFUNCTION("""COMPUTED_VALUE"""),2334.25)</f>
        <v>2334.25</v>
      </c>
      <c r="H25" s="34">
        <f>IFERROR(__xludf.DUMMYFUNCTION("""COMPUTED_VALUE"""),11.67125)</f>
        <v>11.67125</v>
      </c>
      <c r="I25" s="34">
        <f>IFERROR(__xludf.DUMMYFUNCTION("""COMPUTED_VALUE"""),11.67125)</f>
        <v>11.67125</v>
      </c>
      <c r="J25" s="34">
        <f>IFERROR(__xludf.DUMMYFUNCTION("""COMPUTED_VALUE"""),0.0)</f>
        <v>0</v>
      </c>
      <c r="K25" s="37" t="b">
        <v>0</v>
      </c>
      <c r="L25" s="28"/>
    </row>
    <row r="26">
      <c r="A26" s="28">
        <f>IFERROR(__xludf.DUMMYFUNCTION("""COMPUTED_VALUE"""),2.0255025E7)</f>
        <v>20255025</v>
      </c>
      <c r="B26" s="28" t="str">
        <f>IFERROR(__xludf.DUMMYFUNCTION("""COMPUTED_VALUE"""),"Chris Falkowski")</f>
        <v>Chris Falkowski</v>
      </c>
      <c r="C26" s="51" t="b">
        <f>IFERROR(__xludf.DUMMYFUNCTION("""COMPUTED_VALUE"""),TRUE)</f>
        <v>1</v>
      </c>
      <c r="D26" s="51">
        <f>IFERROR(__xludf.DUMMYFUNCTION("""COMPUTED_VALUE"""),0.5187501599780602)</f>
        <v>0.51875016</v>
      </c>
      <c r="E26" s="29">
        <f>IFERROR(__xludf.DUMMYFUNCTION("""COMPUTED_VALUE"""),12289.16)</f>
        <v>12289.16</v>
      </c>
      <c r="F26" s="29">
        <f>IFERROR(__xludf.DUMMYFUNCTION("""COMPUTED_VALUE"""),1384.5900000000001)</f>
        <v>1384.59</v>
      </c>
      <c r="G26" s="29">
        <f>IFERROR(__xludf.DUMMYFUNCTION("""COMPUTED_VALUE"""),13673.75)</f>
        <v>13673.75</v>
      </c>
      <c r="H26" s="29">
        <f>IFERROR(__xludf.DUMMYFUNCTION("""COMPUTED_VALUE"""),68.36875)</f>
        <v>68.36875</v>
      </c>
      <c r="I26" s="28"/>
      <c r="J26" s="29">
        <f>IFERROR(__xludf.DUMMYFUNCTION("""COMPUTED_VALUE"""),68.36875)</f>
        <v>68.36875</v>
      </c>
      <c r="K26" s="28" t="b">
        <v>0</v>
      </c>
      <c r="L26" s="28"/>
    </row>
    <row r="27">
      <c r="A27" s="32">
        <f>IFERROR(__xludf.DUMMYFUNCTION("""COMPUTED_VALUE"""),2.0255026E7)</f>
        <v>20255026</v>
      </c>
      <c r="B27" s="32" t="str">
        <f>IFERROR(__xludf.DUMMYFUNCTION("""COMPUTED_VALUE"""),"Steve and Robin Bliss")</f>
        <v>Steve and Robin Bliss</v>
      </c>
      <c r="C27" s="33" t="b">
        <f>IFERROR(__xludf.DUMMYFUNCTION("""COMPUTED_VALUE"""),TRUE)</f>
        <v>1</v>
      </c>
      <c r="D27" s="33">
        <f>IFERROR(__xludf.DUMMYFUNCTION("""COMPUTED_VALUE"""),0.6144879950749026)</f>
        <v>0.6144879951</v>
      </c>
      <c r="E27" s="34">
        <f>IFERROR(__xludf.DUMMYFUNCTION("""COMPUTED_VALUE"""),1218.25)</f>
        <v>1218.25</v>
      </c>
      <c r="F27" s="34">
        <f>IFERROR(__xludf.DUMMYFUNCTION("""COMPUTED_VALUE"""),0.0)</f>
        <v>0</v>
      </c>
      <c r="G27" s="34">
        <f>IFERROR(__xludf.DUMMYFUNCTION("""COMPUTED_VALUE"""),1218.25)</f>
        <v>1218.25</v>
      </c>
      <c r="H27" s="34">
        <f>IFERROR(__xludf.DUMMYFUNCTION("""COMPUTED_VALUE"""),6.0912500000000005)</f>
        <v>6.09125</v>
      </c>
      <c r="I27" s="34">
        <f>IFERROR(__xludf.DUMMYFUNCTION("""COMPUTED_VALUE"""),6.0912500000000005)</f>
        <v>6.09125</v>
      </c>
      <c r="J27" s="34">
        <f>IFERROR(__xludf.DUMMYFUNCTION("""COMPUTED_VALUE"""),0.0)</f>
        <v>0</v>
      </c>
      <c r="K27" s="37" t="b">
        <v>0</v>
      </c>
      <c r="L27" s="28"/>
    </row>
    <row r="28">
      <c r="A28" s="28">
        <f>IFERROR(__xludf.DUMMYFUNCTION("""COMPUTED_VALUE"""),2.0255027E7)</f>
        <v>20255027</v>
      </c>
      <c r="B28" s="28" t="str">
        <f>IFERROR(__xludf.DUMMYFUNCTION("""COMPUTED_VALUE"""),"INS - Tyler Goudy")</f>
        <v>INS - Tyler Goudy</v>
      </c>
      <c r="C28" s="28" t="b">
        <f>IFERROR(__xludf.DUMMYFUNCTION("""COMPUTED_VALUE"""),TRUE)</f>
        <v>1</v>
      </c>
      <c r="D28" s="51">
        <f>IFERROR(__xludf.DUMMYFUNCTION("""COMPUTED_VALUE"""),0.40128220531590647)</f>
        <v>0.4012822053</v>
      </c>
      <c r="E28" s="29">
        <f>IFERROR(__xludf.DUMMYFUNCTION("""COMPUTED_VALUE"""),27690.88)</f>
        <v>27690.88</v>
      </c>
      <c r="F28" s="29">
        <f>IFERROR(__xludf.DUMMYFUNCTION("""COMPUTED_VALUE"""),275.0)</f>
        <v>275</v>
      </c>
      <c r="G28" s="29">
        <f>IFERROR(__xludf.DUMMYFUNCTION("""COMPUTED_VALUE"""),27965.88)</f>
        <v>27965.88</v>
      </c>
      <c r="H28" s="29">
        <f>IFERROR(__xludf.DUMMYFUNCTION("""COMPUTED_VALUE"""),139.82940000000002)</f>
        <v>139.8294</v>
      </c>
      <c r="I28" s="28"/>
      <c r="J28" s="29">
        <f>IFERROR(__xludf.DUMMYFUNCTION("""COMPUTED_VALUE"""),139.82940000000002)</f>
        <v>139.8294</v>
      </c>
      <c r="K28" s="28" t="b">
        <v>0</v>
      </c>
      <c r="L28" s="28"/>
    </row>
    <row r="29">
      <c r="A29" s="28">
        <f>IFERROR(__xludf.DUMMYFUNCTION("""COMPUTED_VALUE"""),2.0255028E7)</f>
        <v>20255028</v>
      </c>
      <c r="B29" s="28" t="str">
        <f>IFERROR(__xludf.DUMMYFUNCTION("""COMPUTED_VALUE"""),"INS - Wes Beard")</f>
        <v>INS - Wes Beard</v>
      </c>
      <c r="C29" s="28" t="b">
        <f>IFERROR(__xludf.DUMMYFUNCTION("""COMPUTED_VALUE"""),TRUE)</f>
        <v>1</v>
      </c>
      <c r="D29" s="51">
        <f>IFERROR(__xludf.DUMMYFUNCTION("""COMPUTED_VALUE"""),0.5290893137739358)</f>
        <v>0.5290893138</v>
      </c>
      <c r="E29" s="29">
        <f>IFERROR(__xludf.DUMMYFUNCTION("""COMPUTED_VALUE"""),31456.65)</f>
        <v>31456.65</v>
      </c>
      <c r="F29" s="29">
        <f>IFERROR(__xludf.DUMMYFUNCTION("""COMPUTED_VALUE"""),5435.419999999998)</f>
        <v>5435.42</v>
      </c>
      <c r="G29" s="29">
        <f>IFERROR(__xludf.DUMMYFUNCTION("""COMPUTED_VALUE"""),36892.07)</f>
        <v>36892.07</v>
      </c>
      <c r="H29" s="29">
        <f>IFERROR(__xludf.DUMMYFUNCTION("""COMPUTED_VALUE"""),184.46035)</f>
        <v>184.46035</v>
      </c>
      <c r="I29" s="28"/>
      <c r="J29" s="29">
        <f>IFERROR(__xludf.DUMMYFUNCTION("""COMPUTED_VALUE"""),139.82940000000002)</f>
        <v>139.8294</v>
      </c>
      <c r="K29" s="28" t="b">
        <v>0</v>
      </c>
      <c r="L29" s="28"/>
    </row>
    <row r="30">
      <c r="A30" s="28">
        <f>IFERROR(__xludf.DUMMYFUNCTION("""COMPUTED_VALUE"""),2.0255029E7)</f>
        <v>20255029</v>
      </c>
      <c r="B30" s="28" t="str">
        <f>IFERROR(__xludf.DUMMYFUNCTION("""COMPUTED_VALUE"""),"Andrew Walter")</f>
        <v>Andrew Walter</v>
      </c>
      <c r="C30" s="51" t="b">
        <f>IFERROR(__xludf.DUMMYFUNCTION("""COMPUTED_VALUE"""),TRUE)</f>
        <v>1</v>
      </c>
      <c r="D30" s="51">
        <f>IFERROR(__xludf.DUMMYFUNCTION("""COMPUTED_VALUE"""),0.11616445576737232)</f>
        <v>0.1161644558</v>
      </c>
      <c r="E30" s="29">
        <f>IFERROR(__xludf.DUMMYFUNCTION("""COMPUTED_VALUE"""),1138.3)</f>
        <v>1138.3</v>
      </c>
      <c r="F30" s="29">
        <f>IFERROR(__xludf.DUMMYFUNCTION("""COMPUTED_VALUE"""),0.0)</f>
        <v>0</v>
      </c>
      <c r="G30" s="29">
        <f>IFERROR(__xludf.DUMMYFUNCTION("""COMPUTED_VALUE"""),1138.3)</f>
        <v>1138.3</v>
      </c>
      <c r="H30" s="29">
        <f>IFERROR(__xludf.DUMMYFUNCTION("""COMPUTED_VALUE"""),5.6915)</f>
        <v>5.6915</v>
      </c>
      <c r="I30" s="28"/>
      <c r="J30" s="29">
        <f>IFERROR(__xludf.DUMMYFUNCTION("""COMPUTED_VALUE"""),5.6915)</f>
        <v>5.6915</v>
      </c>
      <c r="K30" s="28" t="b">
        <v>0</v>
      </c>
      <c r="L30" s="28"/>
    </row>
    <row r="31">
      <c r="A31" s="28">
        <f>IFERROR(__xludf.DUMMYFUNCTION("""COMPUTED_VALUE"""),2.025503E7)</f>
        <v>20255030</v>
      </c>
      <c r="B31" s="28" t="str">
        <f>IFERROR(__xludf.DUMMYFUNCTION("""COMPUTED_VALUE"""),"Michael Hill")</f>
        <v>Michael Hill</v>
      </c>
      <c r="C31" s="51" t="b">
        <f>IFERROR(__xludf.DUMMYFUNCTION("""COMPUTED_VALUE"""),TRUE)</f>
        <v>1</v>
      </c>
      <c r="D31" s="51">
        <f>IFERROR(__xludf.DUMMYFUNCTION("""COMPUTED_VALUE"""),0.5505566183418996)</f>
        <v>0.5505566183</v>
      </c>
      <c r="E31" s="29">
        <f>IFERROR(__xludf.DUMMYFUNCTION("""COMPUTED_VALUE"""),2169.35)</f>
        <v>2169.35</v>
      </c>
      <c r="F31" s="29">
        <f>IFERROR(__xludf.DUMMYFUNCTION("""COMPUTED_VALUE"""),0.0)</f>
        <v>0</v>
      </c>
      <c r="G31" s="29">
        <f>IFERROR(__xludf.DUMMYFUNCTION("""COMPUTED_VALUE"""),2169.35)</f>
        <v>2169.35</v>
      </c>
      <c r="H31" s="29">
        <f>IFERROR(__xludf.DUMMYFUNCTION("""COMPUTED_VALUE"""),10.84675)</f>
        <v>10.84675</v>
      </c>
      <c r="I31" s="28"/>
      <c r="J31" s="29">
        <f>IFERROR(__xludf.DUMMYFUNCTION("""COMPUTED_VALUE"""),10.84675)</f>
        <v>10.84675</v>
      </c>
      <c r="K31" s="28" t="b">
        <v>0</v>
      </c>
      <c r="L31" s="28"/>
    </row>
    <row r="32">
      <c r="A32" s="32">
        <f>IFERROR(__xludf.DUMMYFUNCTION("""COMPUTED_VALUE"""),2.0255031E7)</f>
        <v>20255031</v>
      </c>
      <c r="B32" s="32" t="str">
        <f>IFERROR(__xludf.DUMMYFUNCTION("""COMPUTED_VALUE"""),"Darren Smith")</f>
        <v>Darren Smith</v>
      </c>
      <c r="C32" s="33" t="b">
        <f>IFERROR(__xludf.DUMMYFUNCTION("""COMPUTED_VALUE"""),TRUE)</f>
        <v>1</v>
      </c>
      <c r="D32" s="33">
        <f>IFERROR(__xludf.DUMMYFUNCTION("""COMPUTED_VALUE"""),0.3863117609706706)</f>
        <v>0.386311761</v>
      </c>
      <c r="E32" s="34">
        <f>IFERROR(__xludf.DUMMYFUNCTION("""COMPUTED_VALUE"""),582.69)</f>
        <v>582.69</v>
      </c>
      <c r="F32" s="34">
        <f>IFERROR(__xludf.DUMMYFUNCTION("""COMPUTED_VALUE"""),0.0)</f>
        <v>0</v>
      </c>
      <c r="G32" s="34">
        <f>IFERROR(__xludf.DUMMYFUNCTION("""COMPUTED_VALUE"""),582.69)</f>
        <v>582.69</v>
      </c>
      <c r="H32" s="34">
        <f>IFERROR(__xludf.DUMMYFUNCTION("""COMPUTED_VALUE"""),2.9134500000000005)</f>
        <v>2.91345</v>
      </c>
      <c r="I32" s="34">
        <f>IFERROR(__xludf.DUMMYFUNCTION("""COMPUTED_VALUE"""),2.9134500000000005)</f>
        <v>2.91345</v>
      </c>
      <c r="J32" s="34">
        <f>IFERROR(__xludf.DUMMYFUNCTION("""COMPUTED_VALUE"""),0.0)</f>
        <v>0</v>
      </c>
      <c r="K32" s="37" t="b">
        <v>0</v>
      </c>
      <c r="L32" s="28"/>
    </row>
    <row r="33">
      <c r="A33" s="28">
        <f>IFERROR(__xludf.DUMMYFUNCTION("""COMPUTED_VALUE"""),2.0255032E7)</f>
        <v>20255032</v>
      </c>
      <c r="B33" s="28" t="str">
        <f>IFERROR(__xludf.DUMMYFUNCTION("""COMPUTED_VALUE"""),"INS - Claude Copeland")</f>
        <v>INS - Claude Copeland</v>
      </c>
      <c r="C33" s="51" t="b">
        <f>IFERROR(__xludf.DUMMYFUNCTION("""COMPUTED_VALUE"""),TRUE)</f>
        <v>1</v>
      </c>
      <c r="D33" s="51">
        <f>IFERROR(__xludf.DUMMYFUNCTION("""COMPUTED_VALUE"""),0.5289876424980202)</f>
        <v>0.5289876425</v>
      </c>
      <c r="E33" s="29">
        <f>IFERROR(__xludf.DUMMYFUNCTION("""COMPUTED_VALUE"""),11551.4499999999)</f>
        <v>11551.45</v>
      </c>
      <c r="F33" s="29">
        <f>IFERROR(__xludf.DUMMYFUNCTION("""COMPUTED_VALUE"""),9082.170000000098)</f>
        <v>9082.17</v>
      </c>
      <c r="G33" s="29">
        <f>IFERROR(__xludf.DUMMYFUNCTION("""COMPUTED_VALUE"""),20633.62)</f>
        <v>20633.62</v>
      </c>
      <c r="H33" s="29">
        <f>IFERROR(__xludf.DUMMYFUNCTION("""COMPUTED_VALUE"""),103.1681)</f>
        <v>103.1681</v>
      </c>
      <c r="I33" s="28"/>
      <c r="J33" s="29">
        <f>IFERROR(__xludf.DUMMYFUNCTION("""COMPUTED_VALUE"""),103.1681)</f>
        <v>103.1681</v>
      </c>
      <c r="K33" s="28" t="b">
        <v>0</v>
      </c>
      <c r="L33" s="28"/>
    </row>
    <row r="34">
      <c r="A34" s="62">
        <f>IFERROR(__xludf.DUMMYFUNCTION("""COMPUTED_VALUE"""),2.0255033E7)</f>
        <v>20255033</v>
      </c>
      <c r="B34" s="62" t="str">
        <f>IFERROR(__xludf.DUMMYFUNCTION("""COMPUTED_VALUE"""),"Jim Steinman")</f>
        <v>Jim Steinman</v>
      </c>
      <c r="C34" s="39" t="b">
        <f>IFERROR(__xludf.DUMMYFUNCTION("""COMPUTED_VALUE"""),TRUE)</f>
        <v>1</v>
      </c>
      <c r="D34" s="39">
        <f>IFERROR(__xludf.DUMMYFUNCTION("""COMPUTED_VALUE"""),0.3680662557781202)</f>
        <v>0.3680662558</v>
      </c>
      <c r="E34" s="63">
        <f>IFERROR(__xludf.DUMMYFUNCTION("""COMPUTED_VALUE"""),1298.0)</f>
        <v>1298</v>
      </c>
      <c r="F34" s="63">
        <f>IFERROR(__xludf.DUMMYFUNCTION("""COMPUTED_VALUE"""),0.0)</f>
        <v>0</v>
      </c>
      <c r="G34" s="63">
        <f>IFERROR(__xludf.DUMMYFUNCTION("""COMPUTED_VALUE"""),1298.0)</f>
        <v>1298</v>
      </c>
      <c r="H34" s="63">
        <f>IFERROR(__xludf.DUMMYFUNCTION("""COMPUTED_VALUE"""),6.49)</f>
        <v>6.49</v>
      </c>
      <c r="I34" s="63">
        <f>IFERROR(__xludf.DUMMYFUNCTION("""COMPUTED_VALUE"""),6.49)</f>
        <v>6.49</v>
      </c>
      <c r="J34" s="63">
        <f>IFERROR(__xludf.DUMMYFUNCTION("""COMPUTED_VALUE"""),0.0)</f>
        <v>0</v>
      </c>
      <c r="K34" s="64" t="b">
        <v>0</v>
      </c>
      <c r="L34" s="28"/>
    </row>
    <row r="35">
      <c r="A35" s="32">
        <f>IFERROR(__xludf.DUMMYFUNCTION("""COMPUTED_VALUE"""),2.0255034E7)</f>
        <v>20255034</v>
      </c>
      <c r="B35" s="32" t="str">
        <f>IFERROR(__xludf.DUMMYFUNCTION("""COMPUTED_VALUE"""),"Dalton Swafford")</f>
        <v>Dalton Swafford</v>
      </c>
      <c r="C35" s="33" t="b">
        <f>IFERROR(__xludf.DUMMYFUNCTION("""COMPUTED_VALUE"""),TRUE)</f>
        <v>1</v>
      </c>
      <c r="D35" s="33">
        <f>IFERROR(__xludf.DUMMYFUNCTION("""COMPUTED_VALUE"""),0.5652173913043478)</f>
        <v>0.5652173913</v>
      </c>
      <c r="E35" s="34">
        <f>IFERROR(__xludf.DUMMYFUNCTION("""COMPUTED_VALUE"""),459.89)</f>
        <v>459.89</v>
      </c>
      <c r="F35" s="34">
        <f>IFERROR(__xludf.DUMMYFUNCTION("""COMPUTED_VALUE"""),0.11000000000001364)</f>
        <v>0.11</v>
      </c>
      <c r="G35" s="34">
        <f>IFERROR(__xludf.DUMMYFUNCTION("""COMPUTED_VALUE"""),460.0)</f>
        <v>460</v>
      </c>
      <c r="H35" s="34">
        <f>IFERROR(__xludf.DUMMYFUNCTION("""COMPUTED_VALUE"""),2.3000000000000003)</f>
        <v>2.3</v>
      </c>
      <c r="I35" s="34">
        <f>IFERROR(__xludf.DUMMYFUNCTION("""COMPUTED_VALUE"""),2.3000000000000003)</f>
        <v>2.3</v>
      </c>
      <c r="J35" s="34">
        <f>IFERROR(__xludf.DUMMYFUNCTION("""COMPUTED_VALUE"""),0.0)</f>
        <v>0</v>
      </c>
      <c r="K35" s="37" t="b">
        <v>0</v>
      </c>
      <c r="L35" s="28"/>
    </row>
    <row r="36">
      <c r="A36" s="32">
        <f>IFERROR(__xludf.DUMMYFUNCTION("""COMPUTED_VALUE"""),2.0255035E7)</f>
        <v>20255035</v>
      </c>
      <c r="B36" s="32" t="str">
        <f>IFERROR(__xludf.DUMMYFUNCTION("""COMPUTED_VALUE"""),"Dave Nelson")</f>
        <v>Dave Nelson</v>
      </c>
      <c r="C36" s="33" t="b">
        <f>IFERROR(__xludf.DUMMYFUNCTION("""COMPUTED_VALUE"""),TRUE)</f>
        <v>1</v>
      </c>
      <c r="D36" s="33">
        <f>IFERROR(__xludf.DUMMYFUNCTION("""COMPUTED_VALUE"""),0.4889937106918239)</f>
        <v>0.4889937107</v>
      </c>
      <c r="E36" s="34">
        <f>IFERROR(__xludf.DUMMYFUNCTION("""COMPUTED_VALUE"""),2544.0)</f>
        <v>2544</v>
      </c>
      <c r="F36" s="34">
        <f>IFERROR(__xludf.DUMMYFUNCTION("""COMPUTED_VALUE"""),0.0)</f>
        <v>0</v>
      </c>
      <c r="G36" s="34">
        <f>IFERROR(__xludf.DUMMYFUNCTION("""COMPUTED_VALUE"""),2544.0)</f>
        <v>2544</v>
      </c>
      <c r="H36" s="34">
        <f>IFERROR(__xludf.DUMMYFUNCTION("""COMPUTED_VALUE"""),12.72)</f>
        <v>12.72</v>
      </c>
      <c r="I36" s="34">
        <f>IFERROR(__xludf.DUMMYFUNCTION("""COMPUTED_VALUE"""),12.72)</f>
        <v>12.72</v>
      </c>
      <c r="J36" s="34">
        <f>IFERROR(__xludf.DUMMYFUNCTION("""COMPUTED_VALUE"""),0.0)</f>
        <v>0</v>
      </c>
      <c r="K36" s="37" t="b">
        <v>0</v>
      </c>
      <c r="L36" s="28"/>
    </row>
    <row r="37">
      <c r="A37" s="32">
        <f>IFERROR(__xludf.DUMMYFUNCTION("""COMPUTED_VALUE"""),2.0255036E7)</f>
        <v>20255036</v>
      </c>
      <c r="B37" s="32" t="str">
        <f>IFERROR(__xludf.DUMMYFUNCTION("""COMPUTED_VALUE"""),"Dave Nelson")</f>
        <v>Dave Nelson</v>
      </c>
      <c r="C37" s="33" t="b">
        <f>IFERROR(__xludf.DUMMYFUNCTION("""COMPUTED_VALUE"""),TRUE)</f>
        <v>1</v>
      </c>
      <c r="D37" s="33">
        <f>IFERROR(__xludf.DUMMYFUNCTION("""COMPUTED_VALUE"""),0.4969512195121951)</f>
        <v>0.4969512195</v>
      </c>
      <c r="E37" s="34">
        <f>IFERROR(__xludf.DUMMYFUNCTION("""COMPUTED_VALUE"""),1640.0)</f>
        <v>1640</v>
      </c>
      <c r="F37" s="34">
        <f>IFERROR(__xludf.DUMMYFUNCTION("""COMPUTED_VALUE"""),0.0)</f>
        <v>0</v>
      </c>
      <c r="G37" s="34">
        <f>IFERROR(__xludf.DUMMYFUNCTION("""COMPUTED_VALUE"""),1640.0)</f>
        <v>1640</v>
      </c>
      <c r="H37" s="34">
        <f>IFERROR(__xludf.DUMMYFUNCTION("""COMPUTED_VALUE"""),8.2)</f>
        <v>8.2</v>
      </c>
      <c r="I37" s="34">
        <f>IFERROR(__xludf.DUMMYFUNCTION("""COMPUTED_VALUE"""),8.2)</f>
        <v>8.2</v>
      </c>
      <c r="J37" s="34">
        <f>IFERROR(__xludf.DUMMYFUNCTION("""COMPUTED_VALUE"""),0.0)</f>
        <v>0</v>
      </c>
      <c r="K37" s="37" t="b">
        <v>0</v>
      </c>
      <c r="L37" s="28"/>
    </row>
    <row r="38">
      <c r="A38" s="28">
        <f>IFERROR(__xludf.DUMMYFUNCTION("""COMPUTED_VALUE"""),2.0255037E7)</f>
        <v>20255037</v>
      </c>
      <c r="B38" s="28" t="str">
        <f>IFERROR(__xludf.DUMMYFUNCTION("""COMPUTED_VALUE"""),"Steve Oroszi")</f>
        <v>Steve Oroszi</v>
      </c>
      <c r="C38" s="51" t="b">
        <f>IFERROR(__xludf.DUMMYFUNCTION("""COMPUTED_VALUE"""),TRUE)</f>
        <v>1</v>
      </c>
      <c r="D38" s="51">
        <f>IFERROR(__xludf.DUMMYFUNCTION("""COMPUTED_VALUE"""),0.3359792188797392)</f>
        <v>0.3359792189</v>
      </c>
      <c r="E38" s="29">
        <f>IFERROR(__xludf.DUMMYFUNCTION("""COMPUTED_VALUE"""),3788.19)</f>
        <v>3788.19</v>
      </c>
      <c r="F38" s="29">
        <f>IFERROR(__xludf.DUMMYFUNCTION("""COMPUTED_VALUE"""),150.0)</f>
        <v>150</v>
      </c>
      <c r="G38" s="29">
        <f>IFERROR(__xludf.DUMMYFUNCTION("""COMPUTED_VALUE"""),3938.19)</f>
        <v>3938.19</v>
      </c>
      <c r="H38" s="29">
        <f>IFERROR(__xludf.DUMMYFUNCTION("""COMPUTED_VALUE"""),19.69095)</f>
        <v>19.69095</v>
      </c>
      <c r="I38" s="28"/>
      <c r="J38" s="29">
        <f>IFERROR(__xludf.DUMMYFUNCTION("""COMPUTED_VALUE"""),19.69095)</f>
        <v>19.69095</v>
      </c>
      <c r="K38" s="28" t="b">
        <v>0</v>
      </c>
      <c r="L38" s="28"/>
    </row>
    <row r="39">
      <c r="A39" s="28">
        <f>IFERROR(__xludf.DUMMYFUNCTION("""COMPUTED_VALUE"""),2.0255038E7)</f>
        <v>20255038</v>
      </c>
      <c r="B39" s="28" t="str">
        <f>IFERROR(__xludf.DUMMYFUNCTION("""COMPUTED_VALUE"""),"Brandon Mix")</f>
        <v>Brandon Mix</v>
      </c>
      <c r="C39" s="51" t="b">
        <f>IFERROR(__xludf.DUMMYFUNCTION("""COMPUTED_VALUE"""),TRUE)</f>
        <v>1</v>
      </c>
      <c r="D39" s="51">
        <f>IFERROR(__xludf.DUMMYFUNCTION("""COMPUTED_VALUE"""),0.49463796242572183)</f>
        <v>0.4946379624</v>
      </c>
      <c r="E39" s="29">
        <f>IFERROR(__xludf.DUMMYFUNCTION("""COMPUTED_VALUE"""),4998.1)</f>
        <v>4998.1</v>
      </c>
      <c r="F39" s="29">
        <f>IFERROR(__xludf.DUMMYFUNCTION("""COMPUTED_VALUE"""),0.0)</f>
        <v>0</v>
      </c>
      <c r="G39" s="29">
        <f>IFERROR(__xludf.DUMMYFUNCTION("""COMPUTED_VALUE"""),4998.1)</f>
        <v>4998.1</v>
      </c>
      <c r="H39" s="29">
        <f>IFERROR(__xludf.DUMMYFUNCTION("""COMPUTED_VALUE"""),24.9905)</f>
        <v>24.9905</v>
      </c>
      <c r="I39" s="28"/>
      <c r="J39" s="29">
        <f>IFERROR(__xludf.DUMMYFUNCTION("""COMPUTED_VALUE"""),24.9905)</f>
        <v>24.9905</v>
      </c>
      <c r="K39" s="28" t="b">
        <v>0</v>
      </c>
      <c r="L39" s="28"/>
    </row>
    <row r="40">
      <c r="A40" s="32">
        <f>IFERROR(__xludf.DUMMYFUNCTION("""COMPUTED_VALUE"""),2.0255039E7)</f>
        <v>20255039</v>
      </c>
      <c r="B40" s="32" t="str">
        <f>IFERROR(__xludf.DUMMYFUNCTION("""COMPUTED_VALUE"""),"Mina Shafiei")</f>
        <v>Mina Shafiei</v>
      </c>
      <c r="C40" s="33" t="b">
        <f>IFERROR(__xludf.DUMMYFUNCTION("""COMPUTED_VALUE"""),TRUE)</f>
        <v>1</v>
      </c>
      <c r="D40" s="33">
        <f>IFERROR(__xludf.DUMMYFUNCTION("""COMPUTED_VALUE"""),0.33181588014758884)</f>
        <v>0.3318158801</v>
      </c>
      <c r="E40" s="34">
        <f>IFERROR(__xludf.DUMMYFUNCTION("""COMPUTED_VALUE"""),12125.58)</f>
        <v>12125.58</v>
      </c>
      <c r="F40" s="34">
        <f>IFERROR(__xludf.DUMMYFUNCTION("""COMPUTED_VALUE"""),0.0)</f>
        <v>0</v>
      </c>
      <c r="G40" s="34">
        <f>IFERROR(__xludf.DUMMYFUNCTION("""COMPUTED_VALUE"""),12125.58)</f>
        <v>12125.58</v>
      </c>
      <c r="H40" s="34">
        <f>IFERROR(__xludf.DUMMYFUNCTION("""COMPUTED_VALUE"""),60.627900000000004)</f>
        <v>60.6279</v>
      </c>
      <c r="I40" s="34">
        <f>IFERROR(__xludf.DUMMYFUNCTION("""COMPUTED_VALUE"""),60.627900000000004)</f>
        <v>60.6279</v>
      </c>
      <c r="J40" s="34">
        <f>IFERROR(__xludf.DUMMYFUNCTION("""COMPUTED_VALUE"""),0.0)</f>
        <v>0</v>
      </c>
      <c r="K40" s="37" t="b">
        <v>0</v>
      </c>
      <c r="L40" s="28"/>
    </row>
    <row r="41">
      <c r="A41" s="32">
        <f>IFERROR(__xludf.DUMMYFUNCTION("""COMPUTED_VALUE"""),2.025504E7)</f>
        <v>20255040</v>
      </c>
      <c r="B41" s="32" t="str">
        <f>IFERROR(__xludf.DUMMYFUNCTION("""COMPUTED_VALUE"""),"Ben McClurg")</f>
        <v>Ben McClurg</v>
      </c>
      <c r="C41" s="33" t="b">
        <f>IFERROR(__xludf.DUMMYFUNCTION("""COMPUTED_VALUE"""),TRUE)</f>
        <v>1</v>
      </c>
      <c r="D41" s="33">
        <f>IFERROR(__xludf.DUMMYFUNCTION("""COMPUTED_VALUE"""),0.370062862141861)</f>
        <v>0.3700628621</v>
      </c>
      <c r="E41" s="34">
        <f>IFERROR(__xludf.DUMMYFUNCTION("""COMPUTED_VALUE"""),12928.29)</f>
        <v>12928.29</v>
      </c>
      <c r="F41" s="34">
        <f>IFERROR(__xludf.DUMMYFUNCTION("""COMPUTED_VALUE"""),0.0)</f>
        <v>0</v>
      </c>
      <c r="G41" s="34">
        <f>IFERROR(__xludf.DUMMYFUNCTION("""COMPUTED_VALUE"""),12928.29)</f>
        <v>12928.29</v>
      </c>
      <c r="H41" s="34">
        <f>IFERROR(__xludf.DUMMYFUNCTION("""COMPUTED_VALUE"""),64.64145)</f>
        <v>64.64145</v>
      </c>
      <c r="I41" s="34">
        <f>IFERROR(__xludf.DUMMYFUNCTION("""COMPUTED_VALUE"""),64.64145)</f>
        <v>64.64145</v>
      </c>
      <c r="J41" s="34">
        <f>IFERROR(__xludf.DUMMYFUNCTION("""COMPUTED_VALUE"""),0.0)</f>
        <v>0</v>
      </c>
      <c r="K41" s="37" t="b">
        <v>0</v>
      </c>
      <c r="L41" s="28"/>
    </row>
    <row r="42">
      <c r="A42" s="28">
        <f>IFERROR(__xludf.DUMMYFUNCTION("""COMPUTED_VALUE"""),2.0255041E7)</f>
        <v>20255041</v>
      </c>
      <c r="B42" s="28" t="str">
        <f>IFERROR(__xludf.DUMMYFUNCTION("""COMPUTED_VALUE"""),"Zynell Clemons")</f>
        <v>Zynell Clemons</v>
      </c>
      <c r="C42" s="28" t="b">
        <f>IFERROR(__xludf.DUMMYFUNCTION("""COMPUTED_VALUE"""),TRUE)</f>
        <v>1</v>
      </c>
      <c r="D42" s="51" t="str">
        <f>IFERROR(__xludf.DUMMYFUNCTION("""COMPUTED_VALUE"""),"")</f>
        <v/>
      </c>
      <c r="E42" s="29">
        <f>IFERROR(__xludf.DUMMYFUNCTION("""COMPUTED_VALUE"""),0.0)</f>
        <v>0</v>
      </c>
      <c r="F42" s="29">
        <f>IFERROR(__xludf.DUMMYFUNCTION("""COMPUTED_VALUE"""),0.0)</f>
        <v>0</v>
      </c>
      <c r="G42" s="29">
        <f>IFERROR(__xludf.DUMMYFUNCTION("""COMPUTED_VALUE"""),0.0)</f>
        <v>0</v>
      </c>
      <c r="H42" s="29">
        <f>IFERROR(__xludf.DUMMYFUNCTION("""COMPUTED_VALUE"""),0.0)</f>
        <v>0</v>
      </c>
      <c r="I42" s="28"/>
      <c r="J42" s="28"/>
      <c r="K42" s="28" t="b">
        <v>0</v>
      </c>
      <c r="L42" s="28"/>
    </row>
    <row r="43">
      <c r="A43" s="32">
        <f>IFERROR(__xludf.DUMMYFUNCTION("""COMPUTED_VALUE"""),2.0255042E7)</f>
        <v>20255042</v>
      </c>
      <c r="B43" s="32" t="str">
        <f>IFERROR(__xludf.DUMMYFUNCTION("""COMPUTED_VALUE"""),"Penny Willis")</f>
        <v>Penny Willis</v>
      </c>
      <c r="C43" s="33" t="b">
        <f>IFERROR(__xludf.DUMMYFUNCTION("""COMPUTED_VALUE"""),TRUE)</f>
        <v>1</v>
      </c>
      <c r="D43" s="33">
        <f>IFERROR(__xludf.DUMMYFUNCTION("""COMPUTED_VALUE"""),0.5238095238095238)</f>
        <v>0.5238095238</v>
      </c>
      <c r="E43" s="34">
        <f>IFERROR(__xludf.DUMMYFUNCTION("""COMPUTED_VALUE"""),2100.0)</f>
        <v>2100</v>
      </c>
      <c r="F43" s="34">
        <f>IFERROR(__xludf.DUMMYFUNCTION("""COMPUTED_VALUE"""),0.0)</f>
        <v>0</v>
      </c>
      <c r="G43" s="34">
        <f>IFERROR(__xludf.DUMMYFUNCTION("""COMPUTED_VALUE"""),2100.0)</f>
        <v>2100</v>
      </c>
      <c r="H43" s="34">
        <f>IFERROR(__xludf.DUMMYFUNCTION("""COMPUTED_VALUE"""),10.5)</f>
        <v>10.5</v>
      </c>
      <c r="I43" s="34">
        <f>IFERROR(__xludf.DUMMYFUNCTION("""COMPUTED_VALUE"""),10.5)</f>
        <v>10.5</v>
      </c>
      <c r="J43" s="34">
        <f>IFERROR(__xludf.DUMMYFUNCTION("""COMPUTED_VALUE"""),0.0)</f>
        <v>0</v>
      </c>
      <c r="K43" s="37" t="b">
        <v>0</v>
      </c>
      <c r="L43" s="28"/>
    </row>
    <row r="44">
      <c r="A44" s="32">
        <f>IFERROR(__xludf.DUMMYFUNCTION("""COMPUTED_VALUE"""),2.0255043E7)</f>
        <v>20255043</v>
      </c>
      <c r="B44" s="32" t="str">
        <f>IFERROR(__xludf.DUMMYFUNCTION("""COMPUTED_VALUE"""),"Amy Stamps")</f>
        <v>Amy Stamps</v>
      </c>
      <c r="C44" s="33" t="b">
        <f>IFERROR(__xludf.DUMMYFUNCTION("""COMPUTED_VALUE"""),TRUE)</f>
        <v>1</v>
      </c>
      <c r="D44" s="33">
        <f>IFERROR(__xludf.DUMMYFUNCTION("""COMPUTED_VALUE"""),0.9999750000000001)</f>
        <v>0.999975</v>
      </c>
      <c r="E44" s="34">
        <f>IFERROR(__xludf.DUMMYFUNCTION("""COMPUTED_VALUE"""),400.0)</f>
        <v>400</v>
      </c>
      <c r="F44" s="34">
        <f>IFERROR(__xludf.DUMMYFUNCTION("""COMPUTED_VALUE"""),0.0)</f>
        <v>0</v>
      </c>
      <c r="G44" s="34">
        <f>IFERROR(__xludf.DUMMYFUNCTION("""COMPUTED_VALUE"""),400.0)</f>
        <v>400</v>
      </c>
      <c r="H44" s="34">
        <f>IFERROR(__xludf.DUMMYFUNCTION("""COMPUTED_VALUE"""),2.0)</f>
        <v>2</v>
      </c>
      <c r="I44" s="34">
        <f>IFERROR(__xludf.DUMMYFUNCTION("""COMPUTED_VALUE"""),2.0)</f>
        <v>2</v>
      </c>
      <c r="J44" s="34">
        <f>IFERROR(__xludf.DUMMYFUNCTION("""COMPUTED_VALUE"""),0.0)</f>
        <v>0</v>
      </c>
      <c r="K44" s="37" t="b">
        <v>0</v>
      </c>
      <c r="L44" s="28"/>
    </row>
    <row r="45">
      <c r="A45" s="28">
        <f>IFERROR(__xludf.DUMMYFUNCTION("""COMPUTED_VALUE"""),2.0255044E7)</f>
        <v>20255044</v>
      </c>
      <c r="B45" s="28" t="str">
        <f>IFERROR(__xludf.DUMMYFUNCTION("""COMPUTED_VALUE"""),"INS - Tom Myers Siding")</f>
        <v>INS - Tom Myers Siding</v>
      </c>
      <c r="C45" s="51" t="b">
        <f>IFERROR(__xludf.DUMMYFUNCTION("""COMPUTED_VALUE"""),TRUE)</f>
        <v>1</v>
      </c>
      <c r="D45" s="51">
        <f>IFERROR(__xludf.DUMMYFUNCTION("""COMPUTED_VALUE"""),0.44033842130346307)</f>
        <v>0.4403384213</v>
      </c>
      <c r="E45" s="29">
        <f>IFERROR(__xludf.DUMMYFUNCTION("""COMPUTED_VALUE"""),26207.57)</f>
        <v>26207.57</v>
      </c>
      <c r="F45" s="29">
        <f>IFERROR(__xludf.DUMMYFUNCTION("""COMPUTED_VALUE"""),0.0)</f>
        <v>0</v>
      </c>
      <c r="G45" s="29">
        <f>IFERROR(__xludf.DUMMYFUNCTION("""COMPUTED_VALUE"""),26207.57)</f>
        <v>26207.57</v>
      </c>
      <c r="H45" s="29">
        <f>IFERROR(__xludf.DUMMYFUNCTION("""COMPUTED_VALUE"""),131.03785)</f>
        <v>131.03785</v>
      </c>
      <c r="I45" s="28"/>
      <c r="J45" s="29">
        <f>IFERROR(__xludf.DUMMYFUNCTION("""COMPUTED_VALUE"""),131.03785)</f>
        <v>131.03785</v>
      </c>
      <c r="K45" s="28" t="b">
        <v>0</v>
      </c>
      <c r="L45" s="28"/>
    </row>
    <row r="46">
      <c r="A46" s="28">
        <f>IFERROR(__xludf.DUMMYFUNCTION("""COMPUTED_VALUE"""),2.0255045E7)</f>
        <v>20255045</v>
      </c>
      <c r="B46" s="28" t="str">
        <f>IFERROR(__xludf.DUMMYFUNCTION("""COMPUTED_VALUE"""),"Jennifer Colwell")</f>
        <v>Jennifer Colwell</v>
      </c>
      <c r="C46" s="51" t="b">
        <f>IFERROR(__xludf.DUMMYFUNCTION("""COMPUTED_VALUE"""),TRUE)</f>
        <v>1</v>
      </c>
      <c r="D46" s="51">
        <f>IFERROR(__xludf.DUMMYFUNCTION("""COMPUTED_VALUE"""),0.32572054873715783)</f>
        <v>0.3257205487</v>
      </c>
      <c r="E46" s="29">
        <f>IFERROR(__xludf.DUMMYFUNCTION("""COMPUTED_VALUE"""),4096.35)</f>
        <v>4096.35</v>
      </c>
      <c r="F46" s="29">
        <f>IFERROR(__xludf.DUMMYFUNCTION("""COMPUTED_VALUE"""),55.0)</f>
        <v>55</v>
      </c>
      <c r="G46" s="29">
        <f>IFERROR(__xludf.DUMMYFUNCTION("""COMPUTED_VALUE"""),4151.35)</f>
        <v>4151.35</v>
      </c>
      <c r="H46" s="29">
        <f>IFERROR(__xludf.DUMMYFUNCTION("""COMPUTED_VALUE"""),20.756750000000004)</f>
        <v>20.75675</v>
      </c>
      <c r="I46" s="28"/>
      <c r="J46" s="29">
        <f>IFERROR(__xludf.DUMMYFUNCTION("""COMPUTED_VALUE"""),131.03785)</f>
        <v>131.03785</v>
      </c>
      <c r="K46" s="28" t="b">
        <v>0</v>
      </c>
      <c r="L46" s="28"/>
    </row>
    <row r="47">
      <c r="A47" s="32">
        <f>IFERROR(__xludf.DUMMYFUNCTION("""COMPUTED_VALUE"""),2.0255046E7)</f>
        <v>20255046</v>
      </c>
      <c r="B47" s="32" t="str">
        <f>IFERROR(__xludf.DUMMYFUNCTION("""COMPUTED_VALUE"""),"Mark Webster")</f>
        <v>Mark Webster</v>
      </c>
      <c r="C47" s="33" t="b">
        <f>IFERROR(__xludf.DUMMYFUNCTION("""COMPUTED_VALUE"""),TRUE)</f>
        <v>1</v>
      </c>
      <c r="D47" s="33">
        <f>IFERROR(__xludf.DUMMYFUNCTION("""COMPUTED_VALUE"""),0.53125)</f>
        <v>0.53125</v>
      </c>
      <c r="E47" s="34">
        <f>IFERROR(__xludf.DUMMYFUNCTION("""COMPUTED_VALUE"""),640.0)</f>
        <v>640</v>
      </c>
      <c r="F47" s="34">
        <f>IFERROR(__xludf.DUMMYFUNCTION("""COMPUTED_VALUE"""),0.0)</f>
        <v>0</v>
      </c>
      <c r="G47" s="34">
        <f>IFERROR(__xludf.DUMMYFUNCTION("""COMPUTED_VALUE"""),640.0)</f>
        <v>640</v>
      </c>
      <c r="H47" s="34">
        <f>IFERROR(__xludf.DUMMYFUNCTION("""COMPUTED_VALUE"""),3.2)</f>
        <v>3.2</v>
      </c>
      <c r="I47" s="34">
        <f>IFERROR(__xludf.DUMMYFUNCTION("""COMPUTED_VALUE"""),3.2)</f>
        <v>3.2</v>
      </c>
      <c r="J47" s="34">
        <f>IFERROR(__xludf.DUMMYFUNCTION("""COMPUTED_VALUE"""),0.0)</f>
        <v>0</v>
      </c>
      <c r="K47" s="37" t="b">
        <v>0</v>
      </c>
      <c r="L47" s="28"/>
    </row>
    <row r="48">
      <c r="A48" s="32">
        <f>IFERROR(__xludf.DUMMYFUNCTION("""COMPUTED_VALUE"""),2.0255047E7)</f>
        <v>20255047</v>
      </c>
      <c r="B48" s="32" t="str">
        <f>IFERROR(__xludf.DUMMYFUNCTION("""COMPUTED_VALUE"""),"Anthony Cruz")</f>
        <v>Anthony Cruz</v>
      </c>
      <c r="C48" s="32" t="b">
        <f>IFERROR(__xludf.DUMMYFUNCTION("""COMPUTED_VALUE"""),TRUE)</f>
        <v>1</v>
      </c>
      <c r="D48" s="33">
        <f>IFERROR(__xludf.DUMMYFUNCTION("""COMPUTED_VALUE"""),0.16352187975677776)</f>
        <v>0.1635218798</v>
      </c>
      <c r="E48" s="34">
        <f>IFERROR(__xludf.DUMMYFUNCTION("""COMPUTED_VALUE"""),11392.42)</f>
        <v>11392.42</v>
      </c>
      <c r="F48" s="34">
        <f>IFERROR(__xludf.DUMMYFUNCTION("""COMPUTED_VALUE"""),-5236.7300000000005)</f>
        <v>-5236.73</v>
      </c>
      <c r="G48" s="34">
        <f>IFERROR(__xludf.DUMMYFUNCTION("""COMPUTED_VALUE"""),175.0)</f>
        <v>175</v>
      </c>
      <c r="H48" s="34">
        <f>IFERROR(__xludf.DUMMYFUNCTION("""COMPUTED_VALUE"""),30.77845)</f>
        <v>30.77845</v>
      </c>
      <c r="I48" s="34">
        <f>IFERROR(__xludf.DUMMYFUNCTION("""COMPUTED_VALUE"""),0.875)</f>
        <v>0.875</v>
      </c>
      <c r="J48" s="34">
        <f>IFERROR(__xludf.DUMMYFUNCTION("""COMPUTED_VALUE"""),0.0)</f>
        <v>0</v>
      </c>
      <c r="K48" s="37" t="b">
        <v>0</v>
      </c>
      <c r="L48" s="28"/>
    </row>
    <row r="49">
      <c r="A49" s="28">
        <f>IFERROR(__xludf.DUMMYFUNCTION("""COMPUTED_VALUE"""),2.0255048E7)</f>
        <v>20255048</v>
      </c>
      <c r="B49" s="28" t="str">
        <f>IFERROR(__xludf.DUMMYFUNCTION("""COMPUTED_VALUE"""),"TJ Bernard")</f>
        <v>TJ Bernard</v>
      </c>
      <c r="C49" s="51" t="b">
        <f>IFERROR(__xludf.DUMMYFUNCTION("""COMPUTED_VALUE"""),TRUE)</f>
        <v>1</v>
      </c>
      <c r="D49" s="51">
        <f>IFERROR(__xludf.DUMMYFUNCTION("""COMPUTED_VALUE"""),0.37702736240106094)</f>
        <v>0.3770273624</v>
      </c>
      <c r="E49" s="29">
        <f>IFERROR(__xludf.DUMMYFUNCTION("""COMPUTED_VALUE"""),19220.17)</f>
        <v>19220.17</v>
      </c>
      <c r="F49" s="29">
        <f>IFERROR(__xludf.DUMMYFUNCTION("""COMPUTED_VALUE"""),0.0)</f>
        <v>0</v>
      </c>
      <c r="G49" s="29">
        <f>IFERROR(__xludf.DUMMYFUNCTION("""COMPUTED_VALUE"""),19220.17)</f>
        <v>19220.17</v>
      </c>
      <c r="H49" s="29">
        <f>IFERROR(__xludf.DUMMYFUNCTION("""COMPUTED_VALUE"""),96.10085)</f>
        <v>96.10085</v>
      </c>
      <c r="I49" s="28"/>
      <c r="J49" s="29">
        <f>IFERROR(__xludf.DUMMYFUNCTION("""COMPUTED_VALUE"""),96.10085)</f>
        <v>96.10085</v>
      </c>
      <c r="K49" s="28" t="b">
        <v>0</v>
      </c>
      <c r="L49" s="28"/>
    </row>
    <row r="50">
      <c r="A50" s="28">
        <f>IFERROR(__xludf.DUMMYFUNCTION("""COMPUTED_VALUE"""),2.0255049E7)</f>
        <v>20255049</v>
      </c>
      <c r="B50" s="28" t="str">
        <f>IFERROR(__xludf.DUMMYFUNCTION("""COMPUTED_VALUE"""),"Pam Sizemore")</f>
        <v>Pam Sizemore</v>
      </c>
      <c r="C50" s="28" t="b">
        <f>IFERROR(__xludf.DUMMYFUNCTION("""COMPUTED_VALUE"""),TRUE)</f>
        <v>1</v>
      </c>
      <c r="D50" s="51">
        <f>IFERROR(__xludf.DUMMYFUNCTION("""COMPUTED_VALUE"""),0.36757893381947976)</f>
        <v>0.3675789338</v>
      </c>
      <c r="E50" s="29">
        <f>IFERROR(__xludf.DUMMYFUNCTION("""COMPUTED_VALUE"""),7299.87)</f>
        <v>7299.87</v>
      </c>
      <c r="F50" s="29">
        <f>IFERROR(__xludf.DUMMYFUNCTION("""COMPUTED_VALUE"""),780.0)</f>
        <v>780</v>
      </c>
      <c r="G50" s="29">
        <f>IFERROR(__xludf.DUMMYFUNCTION("""COMPUTED_VALUE"""),8079.87)</f>
        <v>8079.87</v>
      </c>
      <c r="H50" s="29">
        <f>IFERROR(__xludf.DUMMYFUNCTION("""COMPUTED_VALUE"""),40.39935)</f>
        <v>40.39935</v>
      </c>
      <c r="I50" s="28"/>
      <c r="J50" s="29">
        <f>IFERROR(__xludf.DUMMYFUNCTION("""COMPUTED_VALUE"""),96.10085)</f>
        <v>96.10085</v>
      </c>
      <c r="K50" s="28" t="b">
        <v>0</v>
      </c>
      <c r="L50" s="28"/>
    </row>
    <row r="51">
      <c r="A51" s="28">
        <f>IFERROR(__xludf.DUMMYFUNCTION("""COMPUTED_VALUE"""),2.025505E7)</f>
        <v>20255050</v>
      </c>
      <c r="B51" s="28" t="str">
        <f>IFERROR(__xludf.DUMMYFUNCTION("""COMPUTED_VALUE"""),"Kelly Thakkar")</f>
        <v>Kelly Thakkar</v>
      </c>
      <c r="C51" s="28" t="b">
        <f>IFERROR(__xludf.DUMMYFUNCTION("""COMPUTED_VALUE"""),TRUE)</f>
        <v>1</v>
      </c>
      <c r="D51" s="51">
        <f>IFERROR(__xludf.DUMMYFUNCTION("""COMPUTED_VALUE"""),0.387856126982727)</f>
        <v>0.387856127</v>
      </c>
      <c r="E51" s="29">
        <f>IFERROR(__xludf.DUMMYFUNCTION("""COMPUTED_VALUE"""),6349.21)</f>
        <v>6349.21</v>
      </c>
      <c r="F51" s="29">
        <f>IFERROR(__xludf.DUMMYFUNCTION("""COMPUTED_VALUE"""),0.0)</f>
        <v>0</v>
      </c>
      <c r="G51" s="29">
        <f>IFERROR(__xludf.DUMMYFUNCTION("""COMPUTED_VALUE"""),6349.21)</f>
        <v>6349.21</v>
      </c>
      <c r="H51" s="29">
        <f>IFERROR(__xludf.DUMMYFUNCTION("""COMPUTED_VALUE"""),31.74605)</f>
        <v>31.74605</v>
      </c>
      <c r="I51" s="28"/>
      <c r="J51" s="29">
        <f>IFERROR(__xludf.DUMMYFUNCTION("""COMPUTED_VALUE"""),31.74605)</f>
        <v>31.74605</v>
      </c>
      <c r="K51" s="28" t="b">
        <v>0</v>
      </c>
      <c r="L51" s="28"/>
    </row>
    <row r="52">
      <c r="A52" s="28">
        <f>IFERROR(__xludf.DUMMYFUNCTION("""COMPUTED_VALUE"""),2.0255051E7)</f>
        <v>20255051</v>
      </c>
      <c r="B52" s="28" t="str">
        <f>IFERROR(__xludf.DUMMYFUNCTION("""COMPUTED_VALUE"""),"Dustin Johnson")</f>
        <v>Dustin Johnson</v>
      </c>
      <c r="C52" s="51" t="b">
        <f>IFERROR(__xludf.DUMMYFUNCTION("""COMPUTED_VALUE"""),TRUE)</f>
        <v>1</v>
      </c>
      <c r="D52" s="51">
        <f>IFERROR(__xludf.DUMMYFUNCTION("""COMPUTED_VALUE"""),0.3468789876217665)</f>
        <v>0.3468789876</v>
      </c>
      <c r="E52" s="29">
        <f>IFERROR(__xludf.DUMMYFUNCTION("""COMPUTED_VALUE"""),25931.81)</f>
        <v>25931.81</v>
      </c>
      <c r="F52" s="29">
        <f>IFERROR(__xludf.DUMMYFUNCTION("""COMPUTED_VALUE"""),0.0)</f>
        <v>0</v>
      </c>
      <c r="G52" s="29">
        <f>IFERROR(__xludf.DUMMYFUNCTION("""COMPUTED_VALUE"""),25931.81)</f>
        <v>25931.81</v>
      </c>
      <c r="H52" s="29">
        <f>IFERROR(__xludf.DUMMYFUNCTION("""COMPUTED_VALUE"""),129.65905)</f>
        <v>129.65905</v>
      </c>
      <c r="I52" s="28"/>
      <c r="J52" s="29">
        <f>IFERROR(__xludf.DUMMYFUNCTION("""COMPUTED_VALUE"""),129.65905)</f>
        <v>129.65905</v>
      </c>
      <c r="K52" s="28" t="b">
        <v>0</v>
      </c>
      <c r="L52" s="28"/>
    </row>
    <row r="53">
      <c r="A53" s="28">
        <f>IFERROR(__xludf.DUMMYFUNCTION("""COMPUTED_VALUE"""),2.0255052E7)</f>
        <v>20255052</v>
      </c>
      <c r="B53" s="28" t="str">
        <f>IFERROR(__xludf.DUMMYFUNCTION("""COMPUTED_VALUE"""),"INS - Misty Dalykas")</f>
        <v>INS - Misty Dalykas</v>
      </c>
      <c r="C53" s="51" t="b">
        <f>IFERROR(__xludf.DUMMYFUNCTION("""COMPUTED_VALUE"""),TRUE)</f>
        <v>1</v>
      </c>
      <c r="D53" s="51">
        <f>IFERROR(__xludf.DUMMYFUNCTION("""COMPUTED_VALUE"""),0.40736683118763156)</f>
        <v>0.4073668312</v>
      </c>
      <c r="E53" s="29">
        <f>IFERROR(__xludf.DUMMYFUNCTION("""COMPUTED_VALUE"""),7395.46)</f>
        <v>7395.46</v>
      </c>
      <c r="F53" s="29">
        <f>IFERROR(__xludf.DUMMYFUNCTION("""COMPUTED_VALUE"""),3284.0299999999997)</f>
        <v>3284.03</v>
      </c>
      <c r="G53" s="29">
        <f>IFERROR(__xludf.DUMMYFUNCTION("""COMPUTED_VALUE"""),10679.49)</f>
        <v>10679.49</v>
      </c>
      <c r="H53" s="29">
        <f>IFERROR(__xludf.DUMMYFUNCTION("""COMPUTED_VALUE"""),53.39745)</f>
        <v>53.39745</v>
      </c>
      <c r="I53" s="28"/>
      <c r="J53" s="29">
        <f>IFERROR(__xludf.DUMMYFUNCTION("""COMPUTED_VALUE"""),53.39745)</f>
        <v>53.39745</v>
      </c>
      <c r="K53" s="28" t="b">
        <v>0</v>
      </c>
      <c r="L53" s="28"/>
    </row>
    <row r="54">
      <c r="A54" s="28">
        <f>IFERROR(__xludf.DUMMYFUNCTION("""COMPUTED_VALUE"""),2.0255053E7)</f>
        <v>20255053</v>
      </c>
      <c r="B54" s="28" t="str">
        <f>IFERROR(__xludf.DUMMYFUNCTION("""COMPUTED_VALUE"""),"Mark Wolfe")</f>
        <v>Mark Wolfe</v>
      </c>
      <c r="C54" s="51" t="b">
        <f>IFERROR(__xludf.DUMMYFUNCTION("""COMPUTED_VALUE"""),TRUE)</f>
        <v>1</v>
      </c>
      <c r="D54" s="51">
        <f>IFERROR(__xludf.DUMMYFUNCTION("""COMPUTED_VALUE"""),0.41772661407180806)</f>
        <v>0.4177266141</v>
      </c>
      <c r="E54" s="29">
        <f>IFERROR(__xludf.DUMMYFUNCTION("""COMPUTED_VALUE"""),11800.9)</f>
        <v>11800.9</v>
      </c>
      <c r="F54" s="29">
        <f>IFERROR(__xludf.DUMMYFUNCTION("""COMPUTED_VALUE"""),0.0)</f>
        <v>0</v>
      </c>
      <c r="G54" s="29">
        <f>IFERROR(__xludf.DUMMYFUNCTION("""COMPUTED_VALUE"""),11800.9)</f>
        <v>11800.9</v>
      </c>
      <c r="H54" s="29">
        <f>IFERROR(__xludf.DUMMYFUNCTION("""COMPUTED_VALUE"""),59.0045)</f>
        <v>59.0045</v>
      </c>
      <c r="I54" s="28"/>
      <c r="J54" s="29">
        <f>IFERROR(__xludf.DUMMYFUNCTION("""COMPUTED_VALUE"""),59.0045)</f>
        <v>59.0045</v>
      </c>
      <c r="K54" s="28" t="b">
        <v>0</v>
      </c>
      <c r="L54" s="28"/>
    </row>
    <row r="55">
      <c r="A55" s="28">
        <f>IFERROR(__xludf.DUMMYFUNCTION("""COMPUTED_VALUE"""),2.0255054E7)</f>
        <v>20255054</v>
      </c>
      <c r="B55" s="28" t="str">
        <f>IFERROR(__xludf.DUMMYFUNCTION("""COMPUTED_VALUE"""),"Adam Sweigart")</f>
        <v>Adam Sweigart</v>
      </c>
      <c r="C55" s="51" t="b">
        <f>IFERROR(__xludf.DUMMYFUNCTION("""COMPUTED_VALUE"""),TRUE)</f>
        <v>1</v>
      </c>
      <c r="D55" s="51">
        <f>IFERROR(__xludf.DUMMYFUNCTION("""COMPUTED_VALUE"""),0.3921127793430854)</f>
        <v>0.3921127793</v>
      </c>
      <c r="E55" s="29">
        <f>IFERROR(__xludf.DUMMYFUNCTION("""COMPUTED_VALUE"""),14509.04)</f>
        <v>14509.04</v>
      </c>
      <c r="F55" s="29">
        <f>IFERROR(__xludf.DUMMYFUNCTION("""COMPUTED_VALUE"""),0.0)</f>
        <v>0</v>
      </c>
      <c r="G55" s="29">
        <f>IFERROR(__xludf.DUMMYFUNCTION("""COMPUTED_VALUE"""),14509.04)</f>
        <v>14509.04</v>
      </c>
      <c r="H55" s="29">
        <f>IFERROR(__xludf.DUMMYFUNCTION("""COMPUTED_VALUE"""),72.54520000000001)</f>
        <v>72.5452</v>
      </c>
      <c r="I55" s="28"/>
      <c r="J55" s="29">
        <f>IFERROR(__xludf.DUMMYFUNCTION("""COMPUTED_VALUE"""),72.54520000000001)</f>
        <v>72.5452</v>
      </c>
      <c r="K55" s="28" t="b">
        <v>0</v>
      </c>
      <c r="L55" s="28"/>
    </row>
    <row r="56">
      <c r="A56" s="28">
        <f>IFERROR(__xludf.DUMMYFUNCTION("""COMPUTED_VALUE"""),2.0255055E7)</f>
        <v>20255055</v>
      </c>
      <c r="B56" s="28" t="str">
        <f>IFERROR(__xludf.DUMMYFUNCTION("""COMPUTED_VALUE"""),"INS - Kevin And Cheryl Sims")</f>
        <v>INS - Kevin And Cheryl Sims</v>
      </c>
      <c r="C56" s="28" t="b">
        <f>IFERROR(__xludf.DUMMYFUNCTION("""COMPUTED_VALUE"""),FALSE)</f>
        <v>0</v>
      </c>
      <c r="D56" s="51" t="str">
        <f>IFERROR(__xludf.DUMMYFUNCTION("""COMPUTED_VALUE"""),"")</f>
        <v/>
      </c>
      <c r="E56" s="29">
        <f>IFERROR(__xludf.DUMMYFUNCTION("""COMPUTED_VALUE"""),58303.9799999999)</f>
        <v>58303.98</v>
      </c>
      <c r="F56" s="29">
        <f>IFERROR(__xludf.DUMMYFUNCTION("""COMPUTED_VALUE"""),0.0)</f>
        <v>0</v>
      </c>
      <c r="G56" s="29">
        <f>IFERROR(__xludf.DUMMYFUNCTION("""COMPUTED_VALUE"""),51092.47)</f>
        <v>51092.47</v>
      </c>
      <c r="H56" s="29">
        <f>IFERROR(__xludf.DUMMYFUNCTION("""COMPUTED_VALUE"""),291.5198999999995)</f>
        <v>291.5199</v>
      </c>
      <c r="I56" s="28"/>
      <c r="J56" s="29">
        <f>IFERROR(__xludf.DUMMYFUNCTION("""COMPUTED_VALUE"""),72.54520000000001)</f>
        <v>72.5452</v>
      </c>
      <c r="K56" s="28" t="b">
        <v>0</v>
      </c>
      <c r="L56" s="28"/>
    </row>
    <row r="57">
      <c r="A57" s="28">
        <f>IFERROR(__xludf.DUMMYFUNCTION("""COMPUTED_VALUE"""),2.0255056E7)</f>
        <v>20255056</v>
      </c>
      <c r="B57" s="28" t="str">
        <f>IFERROR(__xludf.DUMMYFUNCTION("""COMPUTED_VALUE"""),"INS - Ryan Bloomingdale")</f>
        <v>INS - Ryan Bloomingdale</v>
      </c>
      <c r="C57" s="28" t="b">
        <f>IFERROR(__xludf.DUMMYFUNCTION("""COMPUTED_VALUE"""),TRUE)</f>
        <v>1</v>
      </c>
      <c r="D57" s="51">
        <f>IFERROR(__xludf.DUMMYFUNCTION("""COMPUTED_VALUE"""),0.6812033617780453)</f>
        <v>0.6812033618</v>
      </c>
      <c r="E57" s="29">
        <f>IFERROR(__xludf.DUMMYFUNCTION("""COMPUTED_VALUE"""),56343.02)</f>
        <v>56343.02</v>
      </c>
      <c r="F57" s="29">
        <f>IFERROR(__xludf.DUMMYFUNCTION("""COMPUTED_VALUE"""),1810.7300000000032)</f>
        <v>1810.73</v>
      </c>
      <c r="G57" s="29">
        <f>IFERROR(__xludf.DUMMYFUNCTION("""COMPUTED_VALUE"""),46244.27)</f>
        <v>46244.27</v>
      </c>
      <c r="H57" s="29">
        <f>IFERROR(__xludf.DUMMYFUNCTION("""COMPUTED_VALUE"""),290.76875)</f>
        <v>290.76875</v>
      </c>
      <c r="I57" s="28"/>
      <c r="J57" s="29">
        <f>IFERROR(__xludf.DUMMYFUNCTION("""COMPUTED_VALUE"""),231.22135)</f>
        <v>231.22135</v>
      </c>
      <c r="K57" s="28" t="b">
        <v>0</v>
      </c>
      <c r="L57" s="28"/>
    </row>
    <row r="58">
      <c r="A58" s="28">
        <f>IFERROR(__xludf.DUMMYFUNCTION("""COMPUTED_VALUE"""),2.0255057E7)</f>
        <v>20255057</v>
      </c>
      <c r="B58" s="28" t="str">
        <f>IFERROR(__xludf.DUMMYFUNCTION("""COMPUTED_VALUE"""),"INS - Emily Hammel")</f>
        <v>INS - Emily Hammel</v>
      </c>
      <c r="C58" s="51" t="b">
        <f>IFERROR(__xludf.DUMMYFUNCTION("""COMPUTED_VALUE"""),FALSE)</f>
        <v>0</v>
      </c>
      <c r="D58" s="51">
        <f>IFERROR(__xludf.DUMMYFUNCTION("""COMPUTED_VALUE"""),0.4569473604740619)</f>
        <v>0.4569473605</v>
      </c>
      <c r="E58" s="29">
        <f>IFERROR(__xludf.DUMMYFUNCTION("""COMPUTED_VALUE"""),21590.43)</f>
        <v>21590.43</v>
      </c>
      <c r="F58" s="29">
        <f>IFERROR(__xludf.DUMMYFUNCTION("""COMPUTED_VALUE"""),0.0)</f>
        <v>0</v>
      </c>
      <c r="G58" s="29">
        <f>IFERROR(__xludf.DUMMYFUNCTION("""COMPUTED_VALUE"""),19516.94)</f>
        <v>19516.94</v>
      </c>
      <c r="H58" s="29">
        <f>IFERROR(__xludf.DUMMYFUNCTION("""COMPUTED_VALUE"""),107.95215)</f>
        <v>107.95215</v>
      </c>
      <c r="I58" s="28"/>
      <c r="J58" s="29">
        <f>IFERROR(__xludf.DUMMYFUNCTION("""COMPUTED_VALUE"""),93.56115)</f>
        <v>93.56115</v>
      </c>
      <c r="K58" s="28" t="b">
        <v>0</v>
      </c>
      <c r="L58" s="28"/>
    </row>
    <row r="59">
      <c r="A59" s="28">
        <f>IFERROR(__xludf.DUMMYFUNCTION("""COMPUTED_VALUE"""),2.0255058E7)</f>
        <v>20255058</v>
      </c>
      <c r="B59" s="28" t="str">
        <f>IFERROR(__xludf.DUMMYFUNCTION("""COMPUTED_VALUE"""),"Dorothy Reed")</f>
        <v>Dorothy Reed</v>
      </c>
      <c r="C59" s="28" t="b">
        <f>IFERROR(__xludf.DUMMYFUNCTION("""COMPUTED_VALUE"""),TRUE)</f>
        <v>1</v>
      </c>
      <c r="D59" s="51">
        <f>IFERROR(__xludf.DUMMYFUNCTION("""COMPUTED_VALUE"""),0.3322)</f>
        <v>0.3322</v>
      </c>
      <c r="E59" s="29">
        <f>IFERROR(__xludf.DUMMYFUNCTION("""COMPUTED_VALUE"""),1829.95)</f>
        <v>1829.95</v>
      </c>
      <c r="F59" s="29">
        <f>IFERROR(__xludf.DUMMYFUNCTION("""COMPUTED_VALUE"""),-603.8400000000001)</f>
        <v>-603.84</v>
      </c>
      <c r="G59" s="29">
        <f>IFERROR(__xludf.DUMMYFUNCTION("""COMPUTED_VALUE"""),1226.11)</f>
        <v>1226.11</v>
      </c>
      <c r="H59" s="29">
        <f>IFERROR(__xludf.DUMMYFUNCTION("""COMPUTED_VALUE"""),6.1305499999999995)</f>
        <v>6.13055</v>
      </c>
      <c r="I59" s="28"/>
      <c r="J59" s="29">
        <f>IFERROR(__xludf.DUMMYFUNCTION("""COMPUTED_VALUE"""),6.1305499999999995)</f>
        <v>6.13055</v>
      </c>
      <c r="K59" s="28" t="b">
        <v>0</v>
      </c>
      <c r="L59" s="28"/>
    </row>
    <row r="60">
      <c r="A60" s="28">
        <f>IFERROR(__xludf.DUMMYFUNCTION("""COMPUTED_VALUE"""),2.0255059E7)</f>
        <v>20255059</v>
      </c>
      <c r="B60" s="28" t="str">
        <f>IFERROR(__xludf.DUMMYFUNCTION("""COMPUTED_VALUE"""),"Drew Haker")</f>
        <v>Drew Haker</v>
      </c>
      <c r="C60" s="51" t="b">
        <f>IFERROR(__xludf.DUMMYFUNCTION("""COMPUTED_VALUE"""),TRUE)</f>
        <v>1</v>
      </c>
      <c r="D60" s="51">
        <f>IFERROR(__xludf.DUMMYFUNCTION("""COMPUTED_VALUE"""),0.601063829787234)</f>
        <v>0.6010638298</v>
      </c>
      <c r="E60" s="29">
        <f>IFERROR(__xludf.DUMMYFUNCTION("""COMPUTED_VALUE"""),940.0)</f>
        <v>940</v>
      </c>
      <c r="F60" s="29">
        <f>IFERROR(__xludf.DUMMYFUNCTION("""COMPUTED_VALUE"""),0.0)</f>
        <v>0</v>
      </c>
      <c r="G60" s="29">
        <f>IFERROR(__xludf.DUMMYFUNCTION("""COMPUTED_VALUE"""),940.0)</f>
        <v>940</v>
      </c>
      <c r="H60" s="29">
        <f>IFERROR(__xludf.DUMMYFUNCTION("""COMPUTED_VALUE"""),4.7)</f>
        <v>4.7</v>
      </c>
      <c r="I60" s="28"/>
      <c r="J60" s="29">
        <f>IFERROR(__xludf.DUMMYFUNCTION("""COMPUTED_VALUE"""),4.7)</f>
        <v>4.7</v>
      </c>
      <c r="K60" s="28" t="b">
        <v>0</v>
      </c>
      <c r="L60" s="28"/>
    </row>
    <row r="61">
      <c r="A61" s="28">
        <f>IFERROR(__xludf.DUMMYFUNCTION("""COMPUTED_VALUE"""),2.025506E7)</f>
        <v>20255060</v>
      </c>
      <c r="B61" s="28" t="str">
        <f>IFERROR(__xludf.DUMMYFUNCTION("""COMPUTED_VALUE"""),"Rayce Robinon - Clocktower")</f>
        <v>Rayce Robinon - Clocktower</v>
      </c>
      <c r="C61" s="51" t="b">
        <f>IFERROR(__xludf.DUMMYFUNCTION("""COMPUTED_VALUE"""),TRUE)</f>
        <v>1</v>
      </c>
      <c r="D61" s="51">
        <f>IFERROR(__xludf.DUMMYFUNCTION("""COMPUTED_VALUE"""),0.0)</f>
        <v>0</v>
      </c>
      <c r="E61" s="29">
        <f>IFERROR(__xludf.DUMMYFUNCTION("""COMPUTED_VALUE"""),175.0)</f>
        <v>175</v>
      </c>
      <c r="F61" s="29">
        <f>IFERROR(__xludf.DUMMYFUNCTION("""COMPUTED_VALUE"""),0.0)</f>
        <v>0</v>
      </c>
      <c r="G61" s="29">
        <f>IFERROR(__xludf.DUMMYFUNCTION("""COMPUTED_VALUE"""),175.0)</f>
        <v>175</v>
      </c>
      <c r="H61" s="29">
        <f>IFERROR(__xludf.DUMMYFUNCTION("""COMPUTED_VALUE"""),0.875)</f>
        <v>0.875</v>
      </c>
      <c r="I61" s="28"/>
      <c r="J61" s="29">
        <f>IFERROR(__xludf.DUMMYFUNCTION("""COMPUTED_VALUE"""),0.875)</f>
        <v>0.875</v>
      </c>
      <c r="K61" s="28" t="b">
        <v>0</v>
      </c>
      <c r="L61" s="28"/>
    </row>
    <row r="62">
      <c r="A62" s="28">
        <f>IFERROR(__xludf.DUMMYFUNCTION("""COMPUTED_VALUE"""),2.0255061E7)</f>
        <v>20255061</v>
      </c>
      <c r="B62" s="28" t="str">
        <f>IFERROR(__xludf.DUMMYFUNCTION("""COMPUTED_VALUE"""),"David Torrence")</f>
        <v>David Torrence</v>
      </c>
      <c r="C62" s="51" t="b">
        <f>IFERROR(__xludf.DUMMYFUNCTION("""COMPUTED_VALUE"""),TRUE)</f>
        <v>1</v>
      </c>
      <c r="D62" s="51">
        <f>IFERROR(__xludf.DUMMYFUNCTION("""COMPUTED_VALUE"""),0.39301419951389727)</f>
        <v>0.3930141995</v>
      </c>
      <c r="E62" s="29">
        <f>IFERROR(__xludf.DUMMYFUNCTION("""COMPUTED_VALUE"""),10657.27)</f>
        <v>10657.27</v>
      </c>
      <c r="F62" s="29">
        <f>IFERROR(__xludf.DUMMYFUNCTION("""COMPUTED_VALUE"""),110.0)</f>
        <v>110</v>
      </c>
      <c r="G62" s="29">
        <f>IFERROR(__xludf.DUMMYFUNCTION("""COMPUTED_VALUE"""),10767.27)</f>
        <v>10767.27</v>
      </c>
      <c r="H62" s="29">
        <f>IFERROR(__xludf.DUMMYFUNCTION("""COMPUTED_VALUE"""),53.83635)</f>
        <v>53.83635</v>
      </c>
      <c r="I62" s="28"/>
      <c r="J62" s="29">
        <f>IFERROR(__xludf.DUMMYFUNCTION("""COMPUTED_VALUE"""),53.83635)</f>
        <v>53.83635</v>
      </c>
      <c r="K62" s="28" t="b">
        <v>0</v>
      </c>
      <c r="L62" s="28"/>
    </row>
    <row r="63">
      <c r="A63" s="28">
        <f>IFERROR(__xludf.DUMMYFUNCTION("""COMPUTED_VALUE"""),2.0255062E7)</f>
        <v>20255062</v>
      </c>
      <c r="B63" s="28" t="str">
        <f>IFERROR(__xludf.DUMMYFUNCTION("""COMPUTED_VALUE"""),"Shawn Vehr")</f>
        <v>Shawn Vehr</v>
      </c>
      <c r="C63" s="28" t="b">
        <f>IFERROR(__xludf.DUMMYFUNCTION("""COMPUTED_VALUE"""),TRUE)</f>
        <v>1</v>
      </c>
      <c r="D63" s="51">
        <f>IFERROR(__xludf.DUMMYFUNCTION("""COMPUTED_VALUE"""),0.5649847125198301)</f>
        <v>0.5649847125</v>
      </c>
      <c r="E63" s="29">
        <f>IFERROR(__xludf.DUMMYFUNCTION("""COMPUTED_VALUE"""),10060.52)</f>
        <v>10060.52</v>
      </c>
      <c r="F63" s="29">
        <f>IFERROR(__xludf.DUMMYFUNCTION("""COMPUTED_VALUE"""),0.0)</f>
        <v>0</v>
      </c>
      <c r="G63" s="29">
        <f>IFERROR(__xludf.DUMMYFUNCTION("""COMPUTED_VALUE"""),10060.52)</f>
        <v>10060.52</v>
      </c>
      <c r="H63" s="29">
        <f>IFERROR(__xludf.DUMMYFUNCTION("""COMPUTED_VALUE"""),50.302600000000005)</f>
        <v>50.3026</v>
      </c>
      <c r="I63" s="28"/>
      <c r="J63" s="29">
        <f>IFERROR(__xludf.DUMMYFUNCTION("""COMPUTED_VALUE"""),50.302600000000005)</f>
        <v>50.3026</v>
      </c>
      <c r="K63" s="28" t="b">
        <v>0</v>
      </c>
      <c r="L63" s="28"/>
    </row>
    <row r="64">
      <c r="A64" s="28">
        <f>IFERROR(__xludf.DUMMYFUNCTION("""COMPUTED_VALUE"""),2.0255063E7)</f>
        <v>20255063</v>
      </c>
      <c r="B64" s="28" t="str">
        <f>IFERROR(__xludf.DUMMYFUNCTION("""COMPUTED_VALUE"""),"INS - Glen Shelley")</f>
        <v>INS - Glen Shelley</v>
      </c>
      <c r="C64" s="28" t="b">
        <f>IFERROR(__xludf.DUMMYFUNCTION("""COMPUTED_VALUE"""),TRUE)</f>
        <v>1</v>
      </c>
      <c r="D64" s="51">
        <f>IFERROR(__xludf.DUMMYFUNCTION("""COMPUTED_VALUE"""),0.48599189644352403)</f>
        <v>0.4859918964</v>
      </c>
      <c r="E64" s="29">
        <f>IFERROR(__xludf.DUMMYFUNCTION("""COMPUTED_VALUE"""),12550.85)</f>
        <v>12550.85</v>
      </c>
      <c r="F64" s="29">
        <f>IFERROR(__xludf.DUMMYFUNCTION("""COMPUTED_VALUE"""),3160.7700000000004)</f>
        <v>3160.77</v>
      </c>
      <c r="G64" s="29">
        <f>IFERROR(__xludf.DUMMYFUNCTION("""COMPUTED_VALUE"""),11109.02)</f>
        <v>11109.02</v>
      </c>
      <c r="H64" s="29">
        <f>IFERROR(__xludf.DUMMYFUNCTION("""COMPUTED_VALUE"""),78.55810000000001)</f>
        <v>78.5581</v>
      </c>
      <c r="I64" s="28"/>
      <c r="J64" s="29">
        <f>IFERROR(__xludf.DUMMYFUNCTION("""COMPUTED_VALUE"""),55.545100000000005)</f>
        <v>55.5451</v>
      </c>
      <c r="K64" s="28" t="b">
        <v>0</v>
      </c>
      <c r="L64" s="28"/>
    </row>
    <row r="65">
      <c r="A65" s="28">
        <f>IFERROR(__xludf.DUMMYFUNCTION("""COMPUTED_VALUE"""),2.0255064E7)</f>
        <v>20255064</v>
      </c>
      <c r="B65" s="28" t="str">
        <f>IFERROR(__xludf.DUMMYFUNCTION("""COMPUTED_VALUE"""),"INS - Katherine Clemmer")</f>
        <v>INS - Katherine Clemmer</v>
      </c>
      <c r="C65" s="51" t="b">
        <f>IFERROR(__xludf.DUMMYFUNCTION("""COMPUTED_VALUE"""),TRUE)</f>
        <v>1</v>
      </c>
      <c r="D65" s="51">
        <f>IFERROR(__xludf.DUMMYFUNCTION("""COMPUTED_VALUE"""),0.5125162112425977)</f>
        <v>0.5125162112</v>
      </c>
      <c r="E65" s="29">
        <f>IFERROR(__xludf.DUMMYFUNCTION("""COMPUTED_VALUE"""),4427.24)</f>
        <v>4427.24</v>
      </c>
      <c r="F65" s="29">
        <f>IFERROR(__xludf.DUMMYFUNCTION("""COMPUTED_VALUE"""),1756.7399999999998)</f>
        <v>1756.74</v>
      </c>
      <c r="G65" s="29">
        <f>IFERROR(__xludf.DUMMYFUNCTION("""COMPUTED_VALUE"""),6183.98)</f>
        <v>6183.98</v>
      </c>
      <c r="H65" s="29">
        <f>IFERROR(__xludf.DUMMYFUNCTION("""COMPUTED_VALUE"""),30.9199)</f>
        <v>30.9199</v>
      </c>
      <c r="I65" s="28"/>
      <c r="J65" s="29">
        <f>IFERROR(__xludf.DUMMYFUNCTION("""COMPUTED_VALUE"""),30.9199)</f>
        <v>30.9199</v>
      </c>
      <c r="K65" s="28" t="b">
        <v>0</v>
      </c>
      <c r="L65" s="28"/>
    </row>
    <row r="66">
      <c r="A66" s="28">
        <f>IFERROR(__xludf.DUMMYFUNCTION("""COMPUTED_VALUE"""),2.0255065E7)</f>
        <v>20255065</v>
      </c>
      <c r="B66" s="28" t="str">
        <f>IFERROR(__xludf.DUMMYFUNCTION("""COMPUTED_VALUE"""),"Robert Cobb")</f>
        <v>Robert Cobb</v>
      </c>
      <c r="C66" s="51" t="b">
        <f>IFERROR(__xludf.DUMMYFUNCTION("""COMPUTED_VALUE"""),TRUE)</f>
        <v>1</v>
      </c>
      <c r="D66" s="51">
        <f>IFERROR(__xludf.DUMMYFUNCTION("""COMPUTED_VALUE"""),0.40393161798842026)</f>
        <v>0.403931618</v>
      </c>
      <c r="E66" s="29">
        <f>IFERROR(__xludf.DUMMYFUNCTION("""COMPUTED_VALUE"""),15148.55)</f>
        <v>15148.55</v>
      </c>
      <c r="F66" s="29">
        <f>IFERROR(__xludf.DUMMYFUNCTION("""COMPUTED_VALUE"""),4409.810000000001)</f>
        <v>4409.81</v>
      </c>
      <c r="G66" s="29">
        <f>IFERROR(__xludf.DUMMYFUNCTION("""COMPUTED_VALUE"""),19558.36)</f>
        <v>19558.36</v>
      </c>
      <c r="H66" s="29">
        <f>IFERROR(__xludf.DUMMYFUNCTION("""COMPUTED_VALUE"""),97.79180000000001)</f>
        <v>97.7918</v>
      </c>
      <c r="I66" s="28"/>
      <c r="J66" s="29">
        <f>IFERROR(__xludf.DUMMYFUNCTION("""COMPUTED_VALUE"""),97.79180000000001)</f>
        <v>97.7918</v>
      </c>
      <c r="K66" s="28" t="b">
        <v>0</v>
      </c>
      <c r="L66" s="28"/>
    </row>
    <row r="67">
      <c r="A67" s="28">
        <f>IFERROR(__xludf.DUMMYFUNCTION("""COMPUTED_VALUE"""),2.0255066E7)</f>
        <v>20255066</v>
      </c>
      <c r="B67" s="28" t="str">
        <f>IFERROR(__xludf.DUMMYFUNCTION("""COMPUTED_VALUE"""),"Jamie Coy")</f>
        <v>Jamie Coy</v>
      </c>
      <c r="C67" s="51" t="b">
        <f>IFERROR(__xludf.DUMMYFUNCTION("""COMPUTED_VALUE"""),TRUE)</f>
        <v>1</v>
      </c>
      <c r="D67" s="51">
        <f>IFERROR(__xludf.DUMMYFUNCTION("""COMPUTED_VALUE"""),0.48878475114593595)</f>
        <v>0.4887847511</v>
      </c>
      <c r="E67" s="29">
        <f>IFERROR(__xludf.DUMMYFUNCTION("""COMPUTED_VALUE"""),15148.55)</f>
        <v>15148.55</v>
      </c>
      <c r="F67" s="29">
        <f>IFERROR(__xludf.DUMMYFUNCTION("""COMPUTED_VALUE"""),7300.350000000002)</f>
        <v>7300.35</v>
      </c>
      <c r="G67" s="29">
        <f>IFERROR(__xludf.DUMMYFUNCTION("""COMPUTED_VALUE"""),22448.9)</f>
        <v>22448.9</v>
      </c>
      <c r="H67" s="29">
        <f>IFERROR(__xludf.DUMMYFUNCTION("""COMPUTED_VALUE"""),112.24450000000002)</f>
        <v>112.2445</v>
      </c>
      <c r="I67" s="28"/>
      <c r="J67" s="29">
        <f>IFERROR(__xludf.DUMMYFUNCTION("""COMPUTED_VALUE"""),97.79180000000001)</f>
        <v>97.7918</v>
      </c>
      <c r="K67" s="28" t="b">
        <v>0</v>
      </c>
      <c r="L67" s="28"/>
    </row>
    <row r="68">
      <c r="A68" s="28">
        <f>IFERROR(__xludf.DUMMYFUNCTION("""COMPUTED_VALUE"""),2.0255067E7)</f>
        <v>20255067</v>
      </c>
      <c r="B68" s="28" t="str">
        <f>IFERROR(__xludf.DUMMYFUNCTION("""COMPUTED_VALUE"""),"Craig Kauffman")</f>
        <v>Craig Kauffman</v>
      </c>
      <c r="C68" s="51" t="b">
        <f>IFERROR(__xludf.DUMMYFUNCTION("""COMPUTED_VALUE"""),TRUE)</f>
        <v>1</v>
      </c>
      <c r="D68" s="51">
        <f>IFERROR(__xludf.DUMMYFUNCTION("""COMPUTED_VALUE"""),0.3735744309286644)</f>
        <v>0.3735744309</v>
      </c>
      <c r="E68" s="29">
        <f>IFERROR(__xludf.DUMMYFUNCTION("""COMPUTED_VALUE"""),13858.2899999999)</f>
        <v>13858.29</v>
      </c>
      <c r="F68" s="29">
        <f>IFERROR(__xludf.DUMMYFUNCTION("""COMPUTED_VALUE"""),411.45000000009895)</f>
        <v>411.45</v>
      </c>
      <c r="G68" s="29">
        <f>IFERROR(__xludf.DUMMYFUNCTION("""COMPUTED_VALUE"""),14269.74)</f>
        <v>14269.74</v>
      </c>
      <c r="H68" s="29">
        <f>IFERROR(__xludf.DUMMYFUNCTION("""COMPUTED_VALUE"""),71.3487)</f>
        <v>71.3487</v>
      </c>
      <c r="I68" s="28"/>
      <c r="J68" s="29">
        <f>IFERROR(__xludf.DUMMYFUNCTION("""COMPUTED_VALUE"""),71.3487)</f>
        <v>71.3487</v>
      </c>
      <c r="K68" s="28" t="b">
        <v>0</v>
      </c>
      <c r="L68" s="28"/>
    </row>
    <row r="69">
      <c r="A69" s="28">
        <f>IFERROR(__xludf.DUMMYFUNCTION("""COMPUTED_VALUE"""),2.0255068E7)</f>
        <v>20255068</v>
      </c>
      <c r="B69" s="28" t="str">
        <f>IFERROR(__xludf.DUMMYFUNCTION("""COMPUTED_VALUE"""),"INS - John Martin")</f>
        <v>INS - John Martin</v>
      </c>
      <c r="C69" s="51" t="b">
        <f>IFERROR(__xludf.DUMMYFUNCTION("""COMPUTED_VALUE"""),TRUE)</f>
        <v>1</v>
      </c>
      <c r="D69" s="51">
        <f>IFERROR(__xludf.DUMMYFUNCTION("""COMPUTED_VALUE"""),0.35327620981100477)</f>
        <v>0.3532762098</v>
      </c>
      <c r="E69" s="29">
        <f>IFERROR(__xludf.DUMMYFUNCTION("""COMPUTED_VALUE"""),11209.33)</f>
        <v>11209.33</v>
      </c>
      <c r="F69" s="29">
        <f>IFERROR(__xludf.DUMMYFUNCTION("""COMPUTED_VALUE"""),110.0)</f>
        <v>110</v>
      </c>
      <c r="G69" s="29">
        <f>IFERROR(__xludf.DUMMYFUNCTION("""COMPUTED_VALUE"""),11319.33)</f>
        <v>11319.33</v>
      </c>
      <c r="H69" s="29">
        <f>IFERROR(__xludf.DUMMYFUNCTION("""COMPUTED_VALUE"""),56.596650000000004)</f>
        <v>56.59665</v>
      </c>
      <c r="I69" s="28"/>
      <c r="J69" s="29">
        <f>IFERROR(__xludf.DUMMYFUNCTION("""COMPUTED_VALUE"""),56.596650000000004)</f>
        <v>56.59665</v>
      </c>
      <c r="K69" s="28" t="b">
        <v>0</v>
      </c>
      <c r="L69" s="28"/>
    </row>
    <row r="70">
      <c r="A70" s="28">
        <f>IFERROR(__xludf.DUMMYFUNCTION("""COMPUTED_VALUE"""),2.0255069E7)</f>
        <v>20255069</v>
      </c>
      <c r="B70" s="28" t="str">
        <f>IFERROR(__xludf.DUMMYFUNCTION("""COMPUTED_VALUE"""),"INS - New Jasper Fire Station")</f>
        <v>INS - New Jasper Fire Station</v>
      </c>
      <c r="C70" s="28" t="b">
        <f>IFERROR(__xludf.DUMMYFUNCTION("""COMPUTED_VALUE"""),TRUE)</f>
        <v>1</v>
      </c>
      <c r="D70" s="51">
        <f>IFERROR(__xludf.DUMMYFUNCTION("""COMPUTED_VALUE"""),0.6278218346408994)</f>
        <v>0.6278218346</v>
      </c>
      <c r="E70" s="29">
        <f>IFERROR(__xludf.DUMMYFUNCTION("""COMPUTED_VALUE"""),127206.86)</f>
        <v>127206.86</v>
      </c>
      <c r="F70" s="29">
        <f>IFERROR(__xludf.DUMMYFUNCTION("""COMPUTED_VALUE"""),34039.3)</f>
        <v>34039.3</v>
      </c>
      <c r="G70" s="29">
        <f>IFERROR(__xludf.DUMMYFUNCTION("""COMPUTED_VALUE"""),130000.0)</f>
        <v>130000</v>
      </c>
      <c r="H70" s="29">
        <f>IFERROR(__xludf.DUMMYFUNCTION("""COMPUTED_VALUE"""),806.2308)</f>
        <v>806.2308</v>
      </c>
      <c r="I70" s="28"/>
      <c r="J70" s="29">
        <f>IFERROR(__xludf.DUMMYFUNCTION("""COMPUTED_VALUE"""),650.0)</f>
        <v>650</v>
      </c>
      <c r="K70" s="28" t="b">
        <v>0</v>
      </c>
      <c r="L70" s="28"/>
    </row>
    <row r="71">
      <c r="A71" s="28">
        <f>IFERROR(__xludf.DUMMYFUNCTION("""COMPUTED_VALUE"""),2.025507E7)</f>
        <v>20255070</v>
      </c>
      <c r="B71" s="28" t="str">
        <f>IFERROR(__xludf.DUMMYFUNCTION("""COMPUTED_VALUE"""),"INS - Roger Hamilton")</f>
        <v>INS - Roger Hamilton</v>
      </c>
      <c r="C71" s="28" t="b">
        <f>IFERROR(__xludf.DUMMYFUNCTION("""COMPUTED_VALUE"""),FALSE)</f>
        <v>0</v>
      </c>
      <c r="D71" s="51" t="str">
        <f>IFERROR(__xludf.DUMMYFUNCTION("""COMPUTED_VALUE"""),"")</f>
        <v/>
      </c>
      <c r="E71" s="29">
        <f>IFERROR(__xludf.DUMMYFUNCTION("""COMPUTED_VALUE"""),22774.8)</f>
        <v>22774.8</v>
      </c>
      <c r="F71" s="29">
        <f>IFERROR(__xludf.DUMMYFUNCTION("""COMPUTED_VALUE"""),0.0)</f>
        <v>0</v>
      </c>
      <c r="G71" s="29">
        <f>IFERROR(__xludf.DUMMYFUNCTION("""COMPUTED_VALUE"""),20810.96)</f>
        <v>20810.96</v>
      </c>
      <c r="H71" s="29">
        <f>IFERROR(__xludf.DUMMYFUNCTION("""COMPUTED_VALUE"""),113.874)</f>
        <v>113.874</v>
      </c>
      <c r="I71" s="28"/>
      <c r="J71" s="29">
        <f>IFERROR(__xludf.DUMMYFUNCTION("""COMPUTED_VALUE"""),104.0548)</f>
        <v>104.0548</v>
      </c>
      <c r="K71" s="28" t="b">
        <v>0</v>
      </c>
      <c r="L71" s="28"/>
    </row>
    <row r="72">
      <c r="A72" s="28">
        <f>IFERROR(__xludf.DUMMYFUNCTION("""COMPUTED_VALUE"""),2.0255071E7)</f>
        <v>20255071</v>
      </c>
      <c r="B72" s="28" t="str">
        <f>IFERROR(__xludf.DUMMYFUNCTION("""COMPUTED_VALUE"""),"Manes Addition")</f>
        <v>Manes Addition</v>
      </c>
      <c r="C72" s="28" t="b">
        <f>IFERROR(__xludf.DUMMYFUNCTION("""COMPUTED_VALUE"""),TRUE)</f>
        <v>1</v>
      </c>
      <c r="D72" s="51">
        <f>IFERROR(__xludf.DUMMYFUNCTION("""COMPUTED_VALUE"""),0.4072614200172943)</f>
        <v>0.40726142</v>
      </c>
      <c r="E72" s="29">
        <f>IFERROR(__xludf.DUMMYFUNCTION("""COMPUTED_VALUE"""),9641.93)</f>
        <v>9641.93</v>
      </c>
      <c r="F72" s="29">
        <f>IFERROR(__xludf.DUMMYFUNCTION("""COMPUTED_VALUE"""),-425.0)</f>
        <v>-425</v>
      </c>
      <c r="G72" s="29">
        <f>IFERROR(__xludf.DUMMYFUNCTION("""COMPUTED_VALUE"""),9216.93)</f>
        <v>9216.93</v>
      </c>
      <c r="H72" s="29">
        <f>IFERROR(__xludf.DUMMYFUNCTION("""COMPUTED_VALUE"""),46.08465)</f>
        <v>46.08465</v>
      </c>
      <c r="I72" s="28"/>
      <c r="J72" s="29">
        <f>IFERROR(__xludf.DUMMYFUNCTION("""COMPUTED_VALUE"""),46.08465)</f>
        <v>46.08465</v>
      </c>
      <c r="K72" s="28" t="b">
        <v>0</v>
      </c>
      <c r="L72" s="28"/>
    </row>
    <row r="73">
      <c r="A73" s="28">
        <f>IFERROR(__xludf.DUMMYFUNCTION("""COMPUTED_VALUE"""),2.0255072E7)</f>
        <v>20255072</v>
      </c>
      <c r="B73" s="28" t="str">
        <f>IFERROR(__xludf.DUMMYFUNCTION("""COMPUTED_VALUE"""),"Kathy Hartman")</f>
        <v>Kathy Hartman</v>
      </c>
      <c r="C73" s="51" t="b">
        <f>IFERROR(__xludf.DUMMYFUNCTION("""COMPUTED_VALUE"""),TRUE)</f>
        <v>1</v>
      </c>
      <c r="D73" s="51">
        <f>IFERROR(__xludf.DUMMYFUNCTION("""COMPUTED_VALUE"""),0.5833916233475409)</f>
        <v>0.5833916233</v>
      </c>
      <c r="E73" s="29">
        <f>IFERROR(__xludf.DUMMYFUNCTION("""COMPUTED_VALUE"""),1987.19)</f>
        <v>1987.19</v>
      </c>
      <c r="F73" s="29">
        <f>IFERROR(__xludf.DUMMYFUNCTION("""COMPUTED_VALUE"""),0.0)</f>
        <v>0</v>
      </c>
      <c r="G73" s="29">
        <f>IFERROR(__xludf.DUMMYFUNCTION("""COMPUTED_VALUE"""),1987.19)</f>
        <v>1987.19</v>
      </c>
      <c r="H73" s="29">
        <f>IFERROR(__xludf.DUMMYFUNCTION("""COMPUTED_VALUE"""),9.93595)</f>
        <v>9.93595</v>
      </c>
      <c r="I73" s="28"/>
      <c r="J73" s="29">
        <f>IFERROR(__xludf.DUMMYFUNCTION("""COMPUTED_VALUE"""),9.93595)</f>
        <v>9.93595</v>
      </c>
      <c r="K73" s="28" t="b">
        <v>0</v>
      </c>
      <c r="L73" s="28"/>
    </row>
    <row r="74">
      <c r="A74" s="28">
        <f>IFERROR(__xludf.DUMMYFUNCTION("""COMPUTED_VALUE"""),2.0255073E7)</f>
        <v>20255073</v>
      </c>
      <c r="B74" s="28" t="str">
        <f>IFERROR(__xludf.DUMMYFUNCTION("""COMPUTED_VALUE"""),"Chris Falkowski - Master Bath")</f>
        <v>Chris Falkowski - Master Bath</v>
      </c>
      <c r="C74" s="51" t="b">
        <f>IFERROR(__xludf.DUMMYFUNCTION("""COMPUTED_VALUE"""),TRUE)</f>
        <v>1</v>
      </c>
      <c r="D74" s="51">
        <f>IFERROR(__xludf.DUMMYFUNCTION("""COMPUTED_VALUE"""),0.3108753112492994)</f>
        <v>0.3108753112</v>
      </c>
      <c r="E74" s="29">
        <f>IFERROR(__xludf.DUMMYFUNCTION("""COMPUTED_VALUE"""),11843.8)</f>
        <v>11843.8</v>
      </c>
      <c r="F74" s="29">
        <f>IFERROR(__xludf.DUMMYFUNCTION("""COMPUTED_VALUE"""),429.3200000000015)</f>
        <v>429.32</v>
      </c>
      <c r="G74" s="29">
        <f>IFERROR(__xludf.DUMMYFUNCTION("""COMPUTED_VALUE"""),12273.12)</f>
        <v>12273.12</v>
      </c>
      <c r="H74" s="29">
        <f>IFERROR(__xludf.DUMMYFUNCTION("""COMPUTED_VALUE"""),61.36560000000001)</f>
        <v>61.3656</v>
      </c>
      <c r="I74" s="28"/>
      <c r="J74" s="29">
        <f>IFERROR(__xludf.DUMMYFUNCTION("""COMPUTED_VALUE"""),61.36560000000001)</f>
        <v>61.3656</v>
      </c>
      <c r="K74" s="28" t="b">
        <v>0</v>
      </c>
      <c r="L74" s="28"/>
    </row>
    <row r="75">
      <c r="A75" s="28">
        <f>IFERROR(__xludf.DUMMYFUNCTION("""COMPUTED_VALUE"""),2.0255075E7)</f>
        <v>20255075</v>
      </c>
      <c r="B75" s="28" t="str">
        <f>IFERROR(__xludf.DUMMYFUNCTION("""COMPUTED_VALUE"""),"INS - Sovereign Grace")</f>
        <v>INS - Sovereign Grace</v>
      </c>
      <c r="C75" s="28" t="b">
        <f>IFERROR(__xludf.DUMMYFUNCTION("""COMPUTED_VALUE"""),TRUE)</f>
        <v>1</v>
      </c>
      <c r="D75" s="51">
        <f>IFERROR(__xludf.DUMMYFUNCTION("""COMPUTED_VALUE"""),0.6070802968918299)</f>
        <v>0.6070802969</v>
      </c>
      <c r="E75" s="29">
        <f>IFERROR(__xludf.DUMMYFUNCTION("""COMPUTED_VALUE"""),100030.28)</f>
        <v>100030.28</v>
      </c>
      <c r="F75" s="29">
        <f>IFERROR(__xludf.DUMMYFUNCTION("""COMPUTED_VALUE"""),1426.199999999997)</f>
        <v>1426.2</v>
      </c>
      <c r="G75" s="29">
        <f>IFERROR(__xludf.DUMMYFUNCTION("""COMPUTED_VALUE"""),100030.28)</f>
        <v>100030.28</v>
      </c>
      <c r="H75" s="29">
        <f>IFERROR(__xludf.DUMMYFUNCTION("""COMPUTED_VALUE"""),507.2824)</f>
        <v>507.2824</v>
      </c>
      <c r="I75" s="28"/>
      <c r="J75" s="29">
        <f>IFERROR(__xludf.DUMMYFUNCTION("""COMPUTED_VALUE"""),500.1514)</f>
        <v>500.1514</v>
      </c>
      <c r="K75" s="28" t="b">
        <v>0</v>
      </c>
      <c r="L75" s="28"/>
    </row>
    <row r="76">
      <c r="A76" s="28">
        <f>IFERROR(__xludf.DUMMYFUNCTION("""COMPUTED_VALUE"""),2.0255076E7)</f>
        <v>20255076</v>
      </c>
      <c r="B76" s="28" t="str">
        <f>IFERROR(__xludf.DUMMYFUNCTION("""COMPUTED_VALUE"""),"Susan Gayle")</f>
        <v>Susan Gayle</v>
      </c>
      <c r="C76" s="28" t="b">
        <f>IFERROR(__xludf.DUMMYFUNCTION("""COMPUTED_VALUE"""),TRUE)</f>
        <v>1</v>
      </c>
      <c r="D76" s="51">
        <f>IFERROR(__xludf.DUMMYFUNCTION("""COMPUTED_VALUE"""),0.3883190306914335)</f>
        <v>0.3883190307</v>
      </c>
      <c r="E76" s="29">
        <f>IFERROR(__xludf.DUMMYFUNCTION("""COMPUTED_VALUE"""),23722.25)</f>
        <v>23722.25</v>
      </c>
      <c r="F76" s="29">
        <f>IFERROR(__xludf.DUMMYFUNCTION("""COMPUTED_VALUE"""),1244.0)</f>
        <v>1244</v>
      </c>
      <c r="G76" s="29">
        <f>IFERROR(__xludf.DUMMYFUNCTION("""COMPUTED_VALUE"""),24966.25)</f>
        <v>24966.25</v>
      </c>
      <c r="H76" s="29">
        <f>IFERROR(__xludf.DUMMYFUNCTION("""COMPUTED_VALUE"""),124.83125)</f>
        <v>124.83125</v>
      </c>
      <c r="I76" s="28"/>
      <c r="J76" s="29">
        <f>IFERROR(__xludf.DUMMYFUNCTION("""COMPUTED_VALUE"""),124.83125)</f>
        <v>124.83125</v>
      </c>
      <c r="K76" s="28" t="b">
        <v>0</v>
      </c>
      <c r="L76" s="28"/>
    </row>
    <row r="77">
      <c r="A77" s="28">
        <f>IFERROR(__xludf.DUMMYFUNCTION("""COMPUTED_VALUE"""),2.0255077E7)</f>
        <v>20255077</v>
      </c>
      <c r="B77" s="28" t="str">
        <f>IFERROR(__xludf.DUMMYFUNCTION("""COMPUTED_VALUE"""),"Stacey Kinnison")</f>
        <v>Stacey Kinnison</v>
      </c>
      <c r="C77" s="51" t="b">
        <f>IFERROR(__xludf.DUMMYFUNCTION("""COMPUTED_VALUE"""),TRUE)</f>
        <v>1</v>
      </c>
      <c r="D77" s="51">
        <f>IFERROR(__xludf.DUMMYFUNCTION("""COMPUTED_VALUE"""),0.38097509963519305)</f>
        <v>0.3809750996</v>
      </c>
      <c r="E77" s="29">
        <f>IFERROR(__xludf.DUMMYFUNCTION("""COMPUTED_VALUE"""),13030.3)</f>
        <v>13030.3</v>
      </c>
      <c r="F77" s="29">
        <f>IFERROR(__xludf.DUMMYFUNCTION("""COMPUTED_VALUE"""),1495.1900000000005)</f>
        <v>1495.19</v>
      </c>
      <c r="G77" s="29">
        <f>IFERROR(__xludf.DUMMYFUNCTION("""COMPUTED_VALUE"""),14525.49)</f>
        <v>14525.49</v>
      </c>
      <c r="H77" s="29">
        <f>IFERROR(__xludf.DUMMYFUNCTION("""COMPUTED_VALUE"""),72.62745)</f>
        <v>72.62745</v>
      </c>
      <c r="I77" s="28"/>
      <c r="J77" s="29">
        <f>IFERROR(__xludf.DUMMYFUNCTION("""COMPUTED_VALUE"""),124.83125)</f>
        <v>124.83125</v>
      </c>
      <c r="K77" s="28" t="b">
        <v>0</v>
      </c>
      <c r="L77" s="28"/>
    </row>
    <row r="78">
      <c r="A78" s="28">
        <f>IFERROR(__xludf.DUMMYFUNCTION("""COMPUTED_VALUE"""),2.0255078E7)</f>
        <v>20255078</v>
      </c>
      <c r="B78" s="28" t="str">
        <f>IFERROR(__xludf.DUMMYFUNCTION("""COMPUTED_VALUE"""),"Ashley Deloatch")</f>
        <v>Ashley Deloatch</v>
      </c>
      <c r="C78" s="28" t="b">
        <f>IFERROR(__xludf.DUMMYFUNCTION("""COMPUTED_VALUE"""),TRUE)</f>
        <v>1</v>
      </c>
      <c r="D78" s="51" t="str">
        <f>IFERROR(__xludf.DUMMYFUNCTION("""COMPUTED_VALUE"""),"")</f>
        <v/>
      </c>
      <c r="E78" s="29">
        <f>IFERROR(__xludf.DUMMYFUNCTION("""COMPUTED_VALUE"""),0.0)</f>
        <v>0</v>
      </c>
      <c r="F78" s="29">
        <f>IFERROR(__xludf.DUMMYFUNCTION("""COMPUTED_VALUE"""),0.0)</f>
        <v>0</v>
      </c>
      <c r="G78" s="29">
        <f>IFERROR(__xludf.DUMMYFUNCTION("""COMPUTED_VALUE"""),0.0)</f>
        <v>0</v>
      </c>
      <c r="H78" s="29">
        <f>IFERROR(__xludf.DUMMYFUNCTION("""COMPUTED_VALUE"""),0.0)</f>
        <v>0</v>
      </c>
      <c r="I78" s="28"/>
      <c r="J78" s="29">
        <f>IFERROR(__xludf.DUMMYFUNCTION("""COMPUTED_VALUE"""),0.0)</f>
        <v>0</v>
      </c>
      <c r="K78" s="28" t="b">
        <v>0</v>
      </c>
      <c r="L78" s="28"/>
    </row>
    <row r="79">
      <c r="A79" s="28">
        <f>IFERROR(__xludf.DUMMYFUNCTION("""COMPUTED_VALUE"""),2.0255079E7)</f>
        <v>20255079</v>
      </c>
      <c r="B79" s="28" t="str">
        <f>IFERROR(__xludf.DUMMYFUNCTION("""COMPUTED_VALUE"""),"Heather Kennedy")</f>
        <v>Heather Kennedy</v>
      </c>
      <c r="C79" s="51" t="b">
        <f>IFERROR(__xludf.DUMMYFUNCTION("""COMPUTED_VALUE"""),TRUE)</f>
        <v>1</v>
      </c>
      <c r="D79" s="51">
        <f>IFERROR(__xludf.DUMMYFUNCTION("""COMPUTED_VALUE"""),0.4925373134328358)</f>
        <v>0.4925373134</v>
      </c>
      <c r="E79" s="29">
        <f>IFERROR(__xludf.DUMMYFUNCTION("""COMPUTED_VALUE"""),2680.0)</f>
        <v>2680</v>
      </c>
      <c r="F79" s="29">
        <f>IFERROR(__xludf.DUMMYFUNCTION("""COMPUTED_VALUE"""),0.0)</f>
        <v>0</v>
      </c>
      <c r="G79" s="29">
        <f>IFERROR(__xludf.DUMMYFUNCTION("""COMPUTED_VALUE"""),2680.0)</f>
        <v>2680</v>
      </c>
      <c r="H79" s="29">
        <f>IFERROR(__xludf.DUMMYFUNCTION("""COMPUTED_VALUE"""),13.4)</f>
        <v>13.4</v>
      </c>
      <c r="I79" s="28"/>
      <c r="J79" s="29">
        <f>IFERROR(__xludf.DUMMYFUNCTION("""COMPUTED_VALUE"""),13.4)</f>
        <v>13.4</v>
      </c>
      <c r="K79" s="28" t="b">
        <v>0</v>
      </c>
      <c r="L79" s="28"/>
    </row>
    <row r="80">
      <c r="A80" s="28">
        <f>IFERROR(__xludf.DUMMYFUNCTION("""COMPUTED_VALUE"""),2.025508E7)</f>
        <v>20255080</v>
      </c>
      <c r="B80" s="28" t="str">
        <f>IFERROR(__xludf.DUMMYFUNCTION("""COMPUTED_VALUE"""),"Kyle Piepmeyer")</f>
        <v>Kyle Piepmeyer</v>
      </c>
      <c r="C80" s="28" t="b">
        <f>IFERROR(__xludf.DUMMYFUNCTION("""COMPUTED_VALUE"""),TRUE)</f>
        <v>1</v>
      </c>
      <c r="D80" s="51">
        <f>IFERROR(__xludf.DUMMYFUNCTION("""COMPUTED_VALUE"""),0.4033411401079022)</f>
        <v>0.4033411401</v>
      </c>
      <c r="E80" s="29">
        <f>IFERROR(__xludf.DUMMYFUNCTION("""COMPUTED_VALUE"""),14422.18)</f>
        <v>14422.18</v>
      </c>
      <c r="F80" s="29">
        <f>IFERROR(__xludf.DUMMYFUNCTION("""COMPUTED_VALUE"""),1470.0)</f>
        <v>1470</v>
      </c>
      <c r="G80" s="29">
        <f>IFERROR(__xludf.DUMMYFUNCTION("""COMPUTED_VALUE"""),15892.18)</f>
        <v>15892.18</v>
      </c>
      <c r="H80" s="29">
        <f>IFERROR(__xludf.DUMMYFUNCTION("""COMPUTED_VALUE"""),79.46090000000001)</f>
        <v>79.4609</v>
      </c>
      <c r="I80" s="28"/>
      <c r="J80" s="29">
        <f>IFERROR(__xludf.DUMMYFUNCTION("""COMPUTED_VALUE"""),13.4)</f>
        <v>13.4</v>
      </c>
      <c r="K80" s="28" t="b">
        <v>0</v>
      </c>
      <c r="L80" s="28"/>
    </row>
    <row r="81">
      <c r="A81" s="28">
        <f>IFERROR(__xludf.DUMMYFUNCTION("""COMPUTED_VALUE"""),2.0255081E7)</f>
        <v>20255081</v>
      </c>
      <c r="B81" s="28" t="str">
        <f>IFERROR(__xludf.DUMMYFUNCTION("""COMPUTED_VALUE"""),"Cindy Eubanks")</f>
        <v>Cindy Eubanks</v>
      </c>
      <c r="C81" s="51" t="b">
        <f>IFERROR(__xludf.DUMMYFUNCTION("""COMPUTED_VALUE"""),TRUE)</f>
        <v>1</v>
      </c>
      <c r="D81" s="51">
        <f>IFERROR(__xludf.DUMMYFUNCTION("""COMPUTED_VALUE"""),0.43060220714122943)</f>
        <v>0.4306022071</v>
      </c>
      <c r="E81" s="29">
        <f>IFERROR(__xludf.DUMMYFUNCTION("""COMPUTED_VALUE"""),23168.82)</f>
        <v>23168.82</v>
      </c>
      <c r="F81" s="29">
        <f>IFERROR(__xludf.DUMMYFUNCTION("""COMPUTED_VALUE"""),440.0)</f>
        <v>440</v>
      </c>
      <c r="G81" s="29">
        <f>IFERROR(__xludf.DUMMYFUNCTION("""COMPUTED_VALUE"""),23608.82)</f>
        <v>23608.82</v>
      </c>
      <c r="H81" s="29">
        <f>IFERROR(__xludf.DUMMYFUNCTION("""COMPUTED_VALUE"""),118.0441)</f>
        <v>118.0441</v>
      </c>
      <c r="I81" s="28"/>
      <c r="J81" s="29">
        <f>IFERROR(__xludf.DUMMYFUNCTION("""COMPUTED_VALUE"""),118.0441)</f>
        <v>118.0441</v>
      </c>
      <c r="K81" s="28" t="b">
        <v>0</v>
      </c>
      <c r="L81" s="28"/>
    </row>
    <row r="82">
      <c r="A82" s="28">
        <f>IFERROR(__xludf.DUMMYFUNCTION("""COMPUTED_VALUE"""),2.0255082E7)</f>
        <v>20255082</v>
      </c>
      <c r="B82" s="28" t="str">
        <f>IFERROR(__xludf.DUMMYFUNCTION("""COMPUTED_VALUE"""),"Chris Kelly")</f>
        <v>Chris Kelly</v>
      </c>
      <c r="C82" s="28" t="b">
        <f>IFERROR(__xludf.DUMMYFUNCTION("""COMPUTED_VALUE"""),TRUE)</f>
        <v>1</v>
      </c>
      <c r="D82" s="51">
        <f>IFERROR(__xludf.DUMMYFUNCTION("""COMPUTED_VALUE"""),0.3778167358251886)</f>
        <v>0.3778167358</v>
      </c>
      <c r="E82" s="29">
        <f>IFERROR(__xludf.DUMMYFUNCTION("""COMPUTED_VALUE"""),34900.0)</f>
        <v>34900</v>
      </c>
      <c r="F82" s="29">
        <f>IFERROR(__xludf.DUMMYFUNCTION("""COMPUTED_VALUE"""),5439.690000000002)</f>
        <v>5439.69</v>
      </c>
      <c r="G82" s="29">
        <f>IFERROR(__xludf.DUMMYFUNCTION("""COMPUTED_VALUE"""),40439.69)</f>
        <v>40439.69</v>
      </c>
      <c r="H82" s="29">
        <f>IFERROR(__xludf.DUMMYFUNCTION("""COMPUTED_VALUE"""),201.69845)</f>
        <v>201.69845</v>
      </c>
      <c r="I82" s="28"/>
      <c r="J82" s="29">
        <f>IFERROR(__xludf.DUMMYFUNCTION("""COMPUTED_VALUE"""),202.19845)</f>
        <v>202.19845</v>
      </c>
      <c r="K82" s="28" t="b">
        <v>0</v>
      </c>
      <c r="L82" s="28"/>
    </row>
    <row r="83">
      <c r="A83" s="28">
        <f>IFERROR(__xludf.DUMMYFUNCTION("""COMPUTED_VALUE"""),2.0255084E7)</f>
        <v>20255084</v>
      </c>
      <c r="B83" s="28" t="str">
        <f>IFERROR(__xludf.DUMMYFUNCTION("""COMPUTED_VALUE"""),"INS - Ben Shideler")</f>
        <v>INS - Ben Shideler</v>
      </c>
      <c r="C83" s="28" t="b">
        <f>IFERROR(__xludf.DUMMYFUNCTION("""COMPUTED_VALUE"""),FALSE)</f>
        <v>0</v>
      </c>
      <c r="D83" s="51">
        <f>IFERROR(__xludf.DUMMYFUNCTION("""COMPUTED_VALUE"""),1.0)</f>
        <v>1</v>
      </c>
      <c r="E83" s="29">
        <f>IFERROR(__xludf.DUMMYFUNCTION("""COMPUTED_VALUE"""),3620.29)</f>
        <v>3620.29</v>
      </c>
      <c r="F83" s="29">
        <f>IFERROR(__xludf.DUMMYFUNCTION("""COMPUTED_VALUE"""),0.0)</f>
        <v>0</v>
      </c>
      <c r="G83" s="29">
        <f>IFERROR(__xludf.DUMMYFUNCTION("""COMPUTED_VALUE"""),826.92)</f>
        <v>826.92</v>
      </c>
      <c r="H83" s="29">
        <f>IFERROR(__xludf.DUMMYFUNCTION("""COMPUTED_VALUE"""),18.10145)</f>
        <v>18.10145</v>
      </c>
      <c r="I83" s="28"/>
      <c r="J83" s="29">
        <f>IFERROR(__xludf.DUMMYFUNCTION("""COMPUTED_VALUE"""),202.19845)</f>
        <v>202.19845</v>
      </c>
      <c r="K83" s="28" t="b">
        <v>0</v>
      </c>
      <c r="L83" s="28"/>
    </row>
    <row r="84">
      <c r="A84" s="28">
        <f>IFERROR(__xludf.DUMMYFUNCTION("""COMPUTED_VALUE"""),2.0255085E7)</f>
        <v>20255085</v>
      </c>
      <c r="B84" s="28" t="str">
        <f>IFERROR(__xludf.DUMMYFUNCTION("""COMPUTED_VALUE"""),"Caroline Mantkowski")</f>
        <v>Caroline Mantkowski</v>
      </c>
      <c r="C84" s="51" t="b">
        <f>IFERROR(__xludf.DUMMYFUNCTION("""COMPUTED_VALUE"""),TRUE)</f>
        <v>1</v>
      </c>
      <c r="D84" s="51">
        <f>IFERROR(__xludf.DUMMYFUNCTION("""COMPUTED_VALUE"""),0.8205052477967691)</f>
        <v>0.8205052478</v>
      </c>
      <c r="E84" s="29">
        <f>IFERROR(__xludf.DUMMYFUNCTION("""COMPUTED_VALUE"""),4029.31)</f>
        <v>4029.31</v>
      </c>
      <c r="F84" s="29">
        <f>IFERROR(__xludf.DUMMYFUNCTION("""COMPUTED_VALUE"""),0.0)</f>
        <v>0</v>
      </c>
      <c r="G84" s="29">
        <f>IFERROR(__xludf.DUMMYFUNCTION("""COMPUTED_VALUE"""),4029.31)</f>
        <v>4029.31</v>
      </c>
      <c r="H84" s="29">
        <f>IFERROR(__xludf.DUMMYFUNCTION("""COMPUTED_VALUE"""),20.14655)</f>
        <v>20.14655</v>
      </c>
      <c r="I84" s="28"/>
      <c r="J84" s="29">
        <f>IFERROR(__xludf.DUMMYFUNCTION("""COMPUTED_VALUE"""),20.14655)</f>
        <v>20.14655</v>
      </c>
      <c r="K84" s="28" t="b">
        <v>0</v>
      </c>
      <c r="L84" s="28"/>
    </row>
    <row r="85">
      <c r="A85" s="28">
        <f>IFERROR(__xludf.DUMMYFUNCTION("""COMPUTED_VALUE"""),2.0255086E7)</f>
        <v>20255086</v>
      </c>
      <c r="B85" s="28" t="str">
        <f>IFERROR(__xludf.DUMMYFUNCTION("""COMPUTED_VALUE"""),"Joanne Stocksdale")</f>
        <v>Joanne Stocksdale</v>
      </c>
      <c r="C85" s="51" t="b">
        <f>IFERROR(__xludf.DUMMYFUNCTION("""COMPUTED_VALUE"""),TRUE)</f>
        <v>1</v>
      </c>
      <c r="D85" s="51">
        <f>IFERROR(__xludf.DUMMYFUNCTION("""COMPUTED_VALUE"""),0.3864210180345951)</f>
        <v>0.386421018</v>
      </c>
      <c r="E85" s="29">
        <f>IFERROR(__xludf.DUMMYFUNCTION("""COMPUTED_VALUE"""),15954.68)</f>
        <v>15954.68</v>
      </c>
      <c r="F85" s="29">
        <f>IFERROR(__xludf.DUMMYFUNCTION("""COMPUTED_VALUE"""),110.0)</f>
        <v>110</v>
      </c>
      <c r="G85" s="29">
        <f>IFERROR(__xludf.DUMMYFUNCTION("""COMPUTED_VALUE"""),16064.68)</f>
        <v>16064.68</v>
      </c>
      <c r="H85" s="29">
        <f>IFERROR(__xludf.DUMMYFUNCTION("""COMPUTED_VALUE"""),80.3234)</f>
        <v>80.3234</v>
      </c>
      <c r="I85" s="28"/>
      <c r="J85" s="29">
        <f>IFERROR(__xludf.DUMMYFUNCTION("""COMPUTED_VALUE"""),80.3234)</f>
        <v>80.3234</v>
      </c>
      <c r="K85" s="28" t="b">
        <v>0</v>
      </c>
      <c r="L85" s="28"/>
    </row>
    <row r="86">
      <c r="A86" s="28">
        <f>IFERROR(__xludf.DUMMYFUNCTION("""COMPUTED_VALUE"""),2.0255087E7)</f>
        <v>20255087</v>
      </c>
      <c r="B86" s="28" t="str">
        <f>IFERROR(__xludf.DUMMYFUNCTION("""COMPUTED_VALUE"""),"INS - Carol Morgan (Beth Lainhart)")</f>
        <v>INS - Carol Morgan (Beth Lainhart)</v>
      </c>
      <c r="C86" s="28" t="b">
        <f>IFERROR(__xludf.DUMMYFUNCTION("""COMPUTED_VALUE"""),FALSE)</f>
        <v>0</v>
      </c>
      <c r="D86" s="51">
        <f>IFERROR(__xludf.DUMMYFUNCTION("""COMPUTED_VALUE"""),0.597165018416219)</f>
        <v>0.5971650184</v>
      </c>
      <c r="E86" s="29">
        <f>IFERROR(__xludf.DUMMYFUNCTION("""COMPUTED_VALUE"""),14514.380000000001)</f>
        <v>14514.38</v>
      </c>
      <c r="F86" s="29">
        <f>IFERROR(__xludf.DUMMYFUNCTION("""COMPUTED_VALUE"""),0.0)</f>
        <v>0</v>
      </c>
      <c r="G86" s="29">
        <f>IFERROR(__xludf.DUMMYFUNCTION("""COMPUTED_VALUE"""),7510.2)</f>
        <v>7510.2</v>
      </c>
      <c r="H86" s="29">
        <f>IFERROR(__xludf.DUMMYFUNCTION("""COMPUTED_VALUE"""),72.57190000000001)</f>
        <v>72.5719</v>
      </c>
      <c r="I86" s="28"/>
      <c r="J86" s="28"/>
      <c r="K86" s="28" t="b">
        <v>0</v>
      </c>
      <c r="L86" s="28"/>
    </row>
    <row r="87">
      <c r="A87" s="28">
        <f>IFERROR(__xludf.DUMMYFUNCTION("""COMPUTED_VALUE"""),2.0255089E7)</f>
        <v>20255089</v>
      </c>
      <c r="B87" s="28" t="str">
        <f>IFERROR(__xludf.DUMMYFUNCTION("""COMPUTED_VALUE"""),"Codi Santos")</f>
        <v>Codi Santos</v>
      </c>
      <c r="C87" s="51" t="b">
        <f>IFERROR(__xludf.DUMMYFUNCTION("""COMPUTED_VALUE"""),TRUE)</f>
        <v>1</v>
      </c>
      <c r="D87" s="51">
        <f>IFERROR(__xludf.DUMMYFUNCTION("""COMPUTED_VALUE"""),0.641743343900616)</f>
        <v>0.6417433439</v>
      </c>
      <c r="E87" s="29">
        <f>IFERROR(__xludf.DUMMYFUNCTION("""COMPUTED_VALUE"""),1551.96)</f>
        <v>1551.96</v>
      </c>
      <c r="F87" s="29">
        <f>IFERROR(__xludf.DUMMYFUNCTION("""COMPUTED_VALUE"""),0.0)</f>
        <v>0</v>
      </c>
      <c r="G87" s="29">
        <f>IFERROR(__xludf.DUMMYFUNCTION("""COMPUTED_VALUE"""),1551.96)</f>
        <v>1551.96</v>
      </c>
      <c r="H87" s="29">
        <f>IFERROR(__xludf.DUMMYFUNCTION("""COMPUTED_VALUE"""),7.7598)</f>
        <v>7.7598</v>
      </c>
      <c r="I87" s="28"/>
      <c r="J87" s="29">
        <f>IFERROR(__xludf.DUMMYFUNCTION("""COMPUTED_VALUE"""),7.7598)</f>
        <v>7.7598</v>
      </c>
      <c r="K87" s="28" t="b">
        <v>0</v>
      </c>
      <c r="L87" s="28"/>
    </row>
    <row r="88">
      <c r="A88" s="28">
        <f>IFERROR(__xludf.DUMMYFUNCTION("""COMPUTED_VALUE"""),2.025509E7)</f>
        <v>20255090</v>
      </c>
      <c r="B88" s="28" t="str">
        <f>IFERROR(__xludf.DUMMYFUNCTION("""COMPUTED_VALUE"""),"Scott Earhart")</f>
        <v>Scott Earhart</v>
      </c>
      <c r="C88" s="51" t="b">
        <f>IFERROR(__xludf.DUMMYFUNCTION("""COMPUTED_VALUE"""),TRUE)</f>
        <v>1</v>
      </c>
      <c r="D88" s="51">
        <f>IFERROR(__xludf.DUMMYFUNCTION("""COMPUTED_VALUE"""),0.5397406836050678)</f>
        <v>0.5397406836</v>
      </c>
      <c r="E88" s="29">
        <f>IFERROR(__xludf.DUMMYFUNCTION("""COMPUTED_VALUE"""),11544.97)</f>
        <v>11544.97</v>
      </c>
      <c r="F88" s="29">
        <f>IFERROR(__xludf.DUMMYFUNCTION("""COMPUTED_VALUE"""),0.0)</f>
        <v>0</v>
      </c>
      <c r="G88" s="29">
        <f>IFERROR(__xludf.DUMMYFUNCTION("""COMPUTED_VALUE"""),11544.97)</f>
        <v>11544.97</v>
      </c>
      <c r="H88" s="29">
        <f>IFERROR(__xludf.DUMMYFUNCTION("""COMPUTED_VALUE"""),57.724849999999996)</f>
        <v>57.72485</v>
      </c>
      <c r="I88" s="28"/>
      <c r="J88" s="29">
        <f>IFERROR(__xludf.DUMMYFUNCTION("""COMPUTED_VALUE"""),57.724849999999996)</f>
        <v>57.72485</v>
      </c>
      <c r="K88" s="28" t="b">
        <v>0</v>
      </c>
      <c r="L88" s="28"/>
    </row>
    <row r="89">
      <c r="A89" s="28">
        <f>IFERROR(__xludf.DUMMYFUNCTION("""COMPUTED_VALUE"""),2.0255092E7)</f>
        <v>20255092</v>
      </c>
      <c r="B89" s="28" t="str">
        <f>IFERROR(__xludf.DUMMYFUNCTION("""COMPUTED_VALUE"""),"INS - Pete Battaglia")</f>
        <v>INS - Pete Battaglia</v>
      </c>
      <c r="C89" s="28" t="b">
        <f>IFERROR(__xludf.DUMMYFUNCTION("""COMPUTED_VALUE"""),FALSE)</f>
        <v>0</v>
      </c>
      <c r="D89" s="51" t="str">
        <f>IFERROR(__xludf.DUMMYFUNCTION("""COMPUTED_VALUE"""),"")</f>
        <v/>
      </c>
      <c r="E89" s="29">
        <f>IFERROR(__xludf.DUMMYFUNCTION("""COMPUTED_VALUE"""),81583.8499999999)</f>
        <v>81583.85</v>
      </c>
      <c r="F89" s="29">
        <f>IFERROR(__xludf.DUMMYFUNCTION("""COMPUTED_VALUE"""),0.0)</f>
        <v>0</v>
      </c>
      <c r="G89" s="29">
        <f>IFERROR(__xludf.DUMMYFUNCTION("""COMPUTED_VALUE"""),66990.88)</f>
        <v>66990.88</v>
      </c>
      <c r="H89" s="29">
        <f>IFERROR(__xludf.DUMMYFUNCTION("""COMPUTED_VALUE"""),407.9192499999995)</f>
        <v>407.91925</v>
      </c>
      <c r="I89" s="28"/>
      <c r="J89" s="29">
        <f>IFERROR(__xludf.DUMMYFUNCTION("""COMPUTED_VALUE"""),334.9544)</f>
        <v>334.9544</v>
      </c>
      <c r="K89" s="28" t="b">
        <v>0</v>
      </c>
      <c r="L89" s="28"/>
    </row>
    <row r="90">
      <c r="A90" s="28">
        <f>IFERROR(__xludf.DUMMYFUNCTION("""COMPUTED_VALUE"""),2.0255093E7)</f>
        <v>20255093</v>
      </c>
      <c r="B90" s="28" t="str">
        <f>IFERROR(__xludf.DUMMYFUNCTION("""COMPUTED_VALUE"""),"Level MB - The Maxwell")</f>
        <v>Level MB - The Maxwell</v>
      </c>
      <c r="C90" s="28" t="b">
        <f>IFERROR(__xludf.DUMMYFUNCTION("""COMPUTED_VALUE"""),TRUE)</f>
        <v>1</v>
      </c>
      <c r="D90" s="51">
        <f>IFERROR(__xludf.DUMMYFUNCTION("""COMPUTED_VALUE"""),0.4039552766545001)</f>
        <v>0.4039552767</v>
      </c>
      <c r="E90" s="29">
        <f>IFERROR(__xludf.DUMMYFUNCTION("""COMPUTED_VALUE"""),19549.51)</f>
        <v>19549.51</v>
      </c>
      <c r="F90" s="29">
        <f>IFERROR(__xludf.DUMMYFUNCTION("""COMPUTED_VALUE"""),2185.0)</f>
        <v>2185</v>
      </c>
      <c r="G90" s="29">
        <f>IFERROR(__xludf.DUMMYFUNCTION("""COMPUTED_VALUE"""),21734.51)</f>
        <v>21734.51</v>
      </c>
      <c r="H90" s="29">
        <f>IFERROR(__xludf.DUMMYFUNCTION("""COMPUTED_VALUE"""),108.67255)</f>
        <v>108.67255</v>
      </c>
      <c r="I90" s="28"/>
      <c r="J90" s="29">
        <f>IFERROR(__xludf.DUMMYFUNCTION("""COMPUTED_VALUE"""),334.9544)</f>
        <v>334.9544</v>
      </c>
      <c r="K90" s="28" t="b">
        <v>0</v>
      </c>
      <c r="L90" s="28"/>
    </row>
    <row r="91">
      <c r="A91" s="28">
        <f>IFERROR(__xludf.DUMMYFUNCTION("""COMPUTED_VALUE"""),2.0255094E7)</f>
        <v>20255094</v>
      </c>
      <c r="B91" s="28" t="str">
        <f>IFERROR(__xludf.DUMMYFUNCTION("""COMPUTED_VALUE"""),"INS - James (Andy) Dean")</f>
        <v>INS - James (Andy) Dean</v>
      </c>
      <c r="C91" s="28" t="b">
        <f>IFERROR(__xludf.DUMMYFUNCTION("""COMPUTED_VALUE"""),TRUE)</f>
        <v>1</v>
      </c>
      <c r="D91" s="51">
        <f>IFERROR(__xludf.DUMMYFUNCTION("""COMPUTED_VALUE"""),0.5676573703197442)</f>
        <v>0.5676573703</v>
      </c>
      <c r="E91" s="29">
        <f>IFERROR(__xludf.DUMMYFUNCTION("""COMPUTED_VALUE"""),45878.52)</f>
        <v>45878.52</v>
      </c>
      <c r="F91" s="29">
        <f>IFERROR(__xludf.DUMMYFUNCTION("""COMPUTED_VALUE"""),48604.83000000001)</f>
        <v>48604.83</v>
      </c>
      <c r="G91" s="29">
        <f>IFERROR(__xludf.DUMMYFUNCTION("""COMPUTED_VALUE"""),82334.51)</f>
        <v>82334.51</v>
      </c>
      <c r="H91" s="29">
        <f>IFERROR(__xludf.DUMMYFUNCTION("""COMPUTED_VALUE"""),472.41675000000004)</f>
        <v>472.41675</v>
      </c>
      <c r="I91" s="28"/>
      <c r="J91" s="28"/>
      <c r="K91" s="28" t="b">
        <v>0</v>
      </c>
      <c r="L91" s="28"/>
    </row>
    <row r="92">
      <c r="A92" s="28">
        <f>IFERROR(__xludf.DUMMYFUNCTION("""COMPUTED_VALUE"""),2.0255095E7)</f>
        <v>20255095</v>
      </c>
      <c r="B92" s="28" t="str">
        <f>IFERROR(__xludf.DUMMYFUNCTION("""COMPUTED_VALUE"""),"Carlene McNamara")</f>
        <v>Carlene McNamara</v>
      </c>
      <c r="C92" s="28" t="b">
        <f>IFERROR(__xludf.DUMMYFUNCTION("""COMPUTED_VALUE"""),TRUE)</f>
        <v>1</v>
      </c>
      <c r="D92" s="51">
        <f>IFERROR(__xludf.DUMMYFUNCTION("""COMPUTED_VALUE"""),0.5701735068788465)</f>
        <v>0.5701735069</v>
      </c>
      <c r="E92" s="29">
        <f>IFERROR(__xludf.DUMMYFUNCTION("""COMPUTED_VALUE"""),862.79)</f>
        <v>862.79</v>
      </c>
      <c r="F92" s="29">
        <f>IFERROR(__xludf.DUMMYFUNCTION("""COMPUTED_VALUE"""),0.0)</f>
        <v>0</v>
      </c>
      <c r="G92" s="29">
        <f>IFERROR(__xludf.DUMMYFUNCTION("""COMPUTED_VALUE"""),862.79)</f>
        <v>862.79</v>
      </c>
      <c r="H92" s="29">
        <f>IFERROR(__xludf.DUMMYFUNCTION("""COMPUTED_VALUE"""),4.31395)</f>
        <v>4.31395</v>
      </c>
      <c r="I92" s="28"/>
      <c r="J92" s="28"/>
      <c r="K92" s="28" t="b">
        <v>0</v>
      </c>
      <c r="L92" s="28"/>
    </row>
    <row r="93">
      <c r="A93" s="28">
        <f>IFERROR(__xludf.DUMMYFUNCTION("""COMPUTED_VALUE"""),2.0255096E7)</f>
        <v>20255096</v>
      </c>
      <c r="B93" s="28" t="str">
        <f>IFERROR(__xludf.DUMMYFUNCTION("""COMPUTED_VALUE"""),"Keith Smart")</f>
        <v>Keith Smart</v>
      </c>
      <c r="C93" s="51" t="b">
        <f>IFERROR(__xludf.DUMMYFUNCTION("""COMPUTED_VALUE"""),TRUE)</f>
        <v>1</v>
      </c>
      <c r="D93" s="51">
        <f>IFERROR(__xludf.DUMMYFUNCTION("""COMPUTED_VALUE"""),0.7569595246121402)</f>
        <v>0.7569595246</v>
      </c>
      <c r="E93" s="29">
        <f>IFERROR(__xludf.DUMMYFUNCTION("""COMPUTED_VALUE"""),1275.59)</f>
        <v>1275.59</v>
      </c>
      <c r="F93" s="29">
        <f>IFERROR(__xludf.DUMMYFUNCTION("""COMPUTED_VALUE"""),0.0)</f>
        <v>0</v>
      </c>
      <c r="G93" s="29">
        <f>IFERROR(__xludf.DUMMYFUNCTION("""COMPUTED_VALUE"""),1275.59)</f>
        <v>1275.59</v>
      </c>
      <c r="H93" s="29">
        <f>IFERROR(__xludf.DUMMYFUNCTION("""COMPUTED_VALUE"""),6.377949999999999)</f>
        <v>6.37795</v>
      </c>
      <c r="I93" s="28"/>
      <c r="J93" s="29">
        <f>IFERROR(__xludf.DUMMYFUNCTION("""COMPUTED_VALUE"""),6.377949999999999)</f>
        <v>6.37795</v>
      </c>
      <c r="K93" s="28" t="b">
        <v>0</v>
      </c>
      <c r="L93" s="28"/>
    </row>
    <row r="94">
      <c r="A94" s="28">
        <f>IFERROR(__xludf.DUMMYFUNCTION("""COMPUTED_VALUE"""),2.0255097E7)</f>
        <v>20255097</v>
      </c>
      <c r="B94" s="28" t="str">
        <f>IFERROR(__xludf.DUMMYFUNCTION("""COMPUTED_VALUE"""),"Brian Moore")</f>
        <v>Brian Moore</v>
      </c>
      <c r="C94" s="28" t="b">
        <f>IFERROR(__xludf.DUMMYFUNCTION("""COMPUTED_VALUE"""),TRUE)</f>
        <v>1</v>
      </c>
      <c r="D94" s="51">
        <f>IFERROR(__xludf.DUMMYFUNCTION("""COMPUTED_VALUE"""),0.41115638695555595)</f>
        <v>0.411156387</v>
      </c>
      <c r="E94" s="29">
        <f>IFERROR(__xludf.DUMMYFUNCTION("""COMPUTED_VALUE"""),21691.79)</f>
        <v>21691.79</v>
      </c>
      <c r="F94" s="29">
        <f>IFERROR(__xludf.DUMMYFUNCTION("""COMPUTED_VALUE"""),-895.8099999999977)</f>
        <v>-895.81</v>
      </c>
      <c r="G94" s="29">
        <f>IFERROR(__xludf.DUMMYFUNCTION("""COMPUTED_VALUE"""),20795.980000000003)</f>
        <v>20795.98</v>
      </c>
      <c r="H94" s="29">
        <f>IFERROR(__xludf.DUMMYFUNCTION("""COMPUTED_VALUE"""),103.97990000000001)</f>
        <v>103.9799</v>
      </c>
      <c r="I94" s="28"/>
      <c r="J94" s="29">
        <f>IFERROR(__xludf.DUMMYFUNCTION("""COMPUTED_VALUE"""),103.97990000000001)</f>
        <v>103.9799</v>
      </c>
      <c r="K94" s="28" t="b">
        <v>0</v>
      </c>
      <c r="L94" s="28"/>
    </row>
    <row r="95">
      <c r="A95" s="28">
        <f>IFERROR(__xludf.DUMMYFUNCTION("""COMPUTED_VALUE"""),2.0255098E7)</f>
        <v>20255098</v>
      </c>
      <c r="B95" s="28" t="str">
        <f>IFERROR(__xludf.DUMMYFUNCTION("""COMPUTED_VALUE"""),"Maria Beimly")</f>
        <v>Maria Beimly</v>
      </c>
      <c r="C95" s="51" t="b">
        <f>IFERROR(__xludf.DUMMYFUNCTION("""COMPUTED_VALUE"""),TRUE)</f>
        <v>1</v>
      </c>
      <c r="D95" s="51">
        <f>IFERROR(__xludf.DUMMYFUNCTION("""COMPUTED_VALUE"""),0.4821268544281258)</f>
        <v>0.4821268544</v>
      </c>
      <c r="E95" s="29">
        <f>IFERROR(__xludf.DUMMYFUNCTION("""COMPUTED_VALUE"""),10001.48)</f>
        <v>10001.48</v>
      </c>
      <c r="F95" s="29">
        <f>IFERROR(__xludf.DUMMYFUNCTION("""COMPUTED_VALUE"""),220.0)</f>
        <v>220</v>
      </c>
      <c r="G95" s="29">
        <f>IFERROR(__xludf.DUMMYFUNCTION("""COMPUTED_VALUE"""),10221.48)</f>
        <v>10221.48</v>
      </c>
      <c r="H95" s="29">
        <f>IFERROR(__xludf.DUMMYFUNCTION("""COMPUTED_VALUE"""),51.1074)</f>
        <v>51.1074</v>
      </c>
      <c r="I95" s="28"/>
      <c r="J95" s="29">
        <f>IFERROR(__xludf.DUMMYFUNCTION("""COMPUTED_VALUE"""),103.97990000000001)</f>
        <v>103.9799</v>
      </c>
      <c r="K95" s="28" t="b">
        <v>0</v>
      </c>
      <c r="L95" s="28"/>
    </row>
    <row r="96">
      <c r="A96" s="28">
        <f>IFERROR(__xludf.DUMMYFUNCTION("""COMPUTED_VALUE"""),2.0255099E7)</f>
        <v>20255099</v>
      </c>
      <c r="B96" s="28" t="str">
        <f>IFERROR(__xludf.DUMMYFUNCTION("""COMPUTED_VALUE"""),"Ray Marker")</f>
        <v>Ray Marker</v>
      </c>
      <c r="C96" s="28" t="b">
        <f>IFERROR(__xludf.DUMMYFUNCTION("""COMPUTED_VALUE"""),TRUE)</f>
        <v>1</v>
      </c>
      <c r="D96" s="51">
        <f>IFERROR(__xludf.DUMMYFUNCTION("""COMPUTED_VALUE"""),0.14497031698394272)</f>
        <v>0.144970317</v>
      </c>
      <c r="E96" s="29">
        <f>IFERROR(__xludf.DUMMYFUNCTION("""COMPUTED_VALUE"""),1825.96)</f>
        <v>1825.96</v>
      </c>
      <c r="F96" s="29">
        <f>IFERROR(__xludf.DUMMYFUNCTION("""COMPUTED_VALUE"""),0.0)</f>
        <v>0</v>
      </c>
      <c r="G96" s="29">
        <f>IFERROR(__xludf.DUMMYFUNCTION("""COMPUTED_VALUE"""),1825.96)</f>
        <v>1825.96</v>
      </c>
      <c r="H96" s="29">
        <f>IFERROR(__xludf.DUMMYFUNCTION("""COMPUTED_VALUE"""),9.129800000000001)</f>
        <v>9.1298</v>
      </c>
      <c r="I96" s="28"/>
      <c r="J96" s="29">
        <f>IFERROR(__xludf.DUMMYFUNCTION("""COMPUTED_VALUE"""),9.129800000000001)</f>
        <v>9.1298</v>
      </c>
      <c r="K96" s="28" t="b">
        <v>0</v>
      </c>
      <c r="L96" s="28"/>
    </row>
    <row r="97">
      <c r="A97" s="28">
        <f>IFERROR(__xludf.DUMMYFUNCTION("""COMPUTED_VALUE"""),2.0255102E7)</f>
        <v>20255102</v>
      </c>
      <c r="B97" s="28" t="str">
        <f>IFERROR(__xludf.DUMMYFUNCTION("""COMPUTED_VALUE"""),"Level MB - 30 N Main")</f>
        <v>Level MB - 30 N Main</v>
      </c>
      <c r="C97" s="28" t="b">
        <f>IFERROR(__xludf.DUMMYFUNCTION("""COMPUTED_VALUE"""),FALSE)</f>
        <v>0</v>
      </c>
      <c r="D97" s="51">
        <f>IFERROR(__xludf.DUMMYFUNCTION("""COMPUTED_VALUE"""),0.23586144069605203)</f>
        <v>0.2358614407</v>
      </c>
      <c r="E97" s="29">
        <f>IFERROR(__xludf.DUMMYFUNCTION("""COMPUTED_VALUE"""),47794.119999999995)</f>
        <v>47794.12</v>
      </c>
      <c r="F97" s="29">
        <f>IFERROR(__xludf.DUMMYFUNCTION("""COMPUTED_VALUE"""),0.0)</f>
        <v>0</v>
      </c>
      <c r="G97" s="29">
        <f>IFERROR(__xludf.DUMMYFUNCTION("""COMPUTED_VALUE"""),43838.76)</f>
        <v>43838.76</v>
      </c>
      <c r="H97" s="29">
        <f>IFERROR(__xludf.DUMMYFUNCTION("""COMPUTED_VALUE"""),238.9706)</f>
        <v>238.9706</v>
      </c>
      <c r="I97" s="28"/>
      <c r="J97" s="29">
        <f>IFERROR(__xludf.DUMMYFUNCTION("""COMPUTED_VALUE"""),33.7908)</f>
        <v>33.7908</v>
      </c>
      <c r="K97" s="28" t="b">
        <v>0</v>
      </c>
      <c r="L97" s="28"/>
    </row>
    <row r="98">
      <c r="A98" s="28">
        <f>IFERROR(__xludf.DUMMYFUNCTION("""COMPUTED_VALUE"""),2.0255103E7)</f>
        <v>20255103</v>
      </c>
      <c r="B98" s="28" t="str">
        <f>IFERROR(__xludf.DUMMYFUNCTION("""COMPUTED_VALUE"""),"Matt Veryser")</f>
        <v>Matt Veryser</v>
      </c>
      <c r="C98" s="28" t="b">
        <f>IFERROR(__xludf.DUMMYFUNCTION("""COMPUTED_VALUE"""),TRUE)</f>
        <v>1</v>
      </c>
      <c r="D98" s="51">
        <f>IFERROR(__xludf.DUMMYFUNCTION("""COMPUTED_VALUE"""),0.5281807474223753)</f>
        <v>0.5281807474</v>
      </c>
      <c r="E98" s="29">
        <f>IFERROR(__xludf.DUMMYFUNCTION("""COMPUTED_VALUE"""),5857.35)</f>
        <v>5857.35</v>
      </c>
      <c r="F98" s="29">
        <f>IFERROR(__xludf.DUMMYFUNCTION("""COMPUTED_VALUE"""),900.8099999999995)</f>
        <v>900.81</v>
      </c>
      <c r="G98" s="29">
        <f>IFERROR(__xludf.DUMMYFUNCTION("""COMPUTED_VALUE"""),6758.16)</f>
        <v>6758.16</v>
      </c>
      <c r="H98" s="29">
        <f>IFERROR(__xludf.DUMMYFUNCTION("""COMPUTED_VALUE"""),33.7908)</f>
        <v>33.7908</v>
      </c>
      <c r="I98" s="28"/>
      <c r="J98" s="29">
        <f>IFERROR(__xludf.DUMMYFUNCTION("""COMPUTED_VALUE"""),33.7908)</f>
        <v>33.7908</v>
      </c>
      <c r="K98" s="28" t="b">
        <v>0</v>
      </c>
      <c r="L98" s="28"/>
    </row>
    <row r="99">
      <c r="A99" s="28">
        <f>IFERROR(__xludf.DUMMYFUNCTION("""COMPUTED_VALUE"""),2.0255104E7)</f>
        <v>20255104</v>
      </c>
      <c r="B99" s="28" t="str">
        <f>IFERROR(__xludf.DUMMYFUNCTION("""COMPUTED_VALUE"""),"Annie Lawson")</f>
        <v>Annie Lawson</v>
      </c>
      <c r="C99" s="28" t="b">
        <f>IFERROR(__xludf.DUMMYFUNCTION("""COMPUTED_VALUE"""),TRUE)</f>
        <v>1</v>
      </c>
      <c r="D99" s="51">
        <f>IFERROR(__xludf.DUMMYFUNCTION("""COMPUTED_VALUE"""),0.5218766168450754)</f>
        <v>0.5218766168</v>
      </c>
      <c r="E99" s="29">
        <f>IFERROR(__xludf.DUMMYFUNCTION("""COMPUTED_VALUE"""),6223.54)</f>
        <v>6223.54</v>
      </c>
      <c r="F99" s="29">
        <f>IFERROR(__xludf.DUMMYFUNCTION("""COMPUTED_VALUE"""),0.0)</f>
        <v>0</v>
      </c>
      <c r="G99" s="29">
        <f>IFERROR(__xludf.DUMMYFUNCTION("""COMPUTED_VALUE"""),6223.54)</f>
        <v>6223.54</v>
      </c>
      <c r="H99" s="29">
        <f>IFERROR(__xludf.DUMMYFUNCTION("""COMPUTED_VALUE"""),31.1177)</f>
        <v>31.1177</v>
      </c>
      <c r="I99" s="28"/>
      <c r="J99" s="29">
        <f>IFERROR(__xludf.DUMMYFUNCTION("""COMPUTED_VALUE"""),194.7656)</f>
        <v>194.7656</v>
      </c>
      <c r="K99" s="28" t="b">
        <v>0</v>
      </c>
      <c r="L99" s="28"/>
    </row>
    <row r="100">
      <c r="A100" s="28">
        <f>IFERROR(__xludf.DUMMYFUNCTION("""COMPUTED_VALUE"""),2.0255105E7)</f>
        <v>20255105</v>
      </c>
      <c r="B100" s="28" t="str">
        <f>IFERROR(__xludf.DUMMYFUNCTION("""COMPUTED_VALUE"""),"Philip Osterholt")</f>
        <v>Philip Osterholt</v>
      </c>
      <c r="C100" s="28" t="b">
        <f>IFERROR(__xludf.DUMMYFUNCTION("""COMPUTED_VALUE"""),TRUE)</f>
        <v>1</v>
      </c>
      <c r="D100" s="51">
        <f>IFERROR(__xludf.DUMMYFUNCTION("""COMPUTED_VALUE"""),0.4259735805501588)</f>
        <v>0.4259735806</v>
      </c>
      <c r="E100" s="29">
        <f>IFERROR(__xludf.DUMMYFUNCTION("""COMPUTED_VALUE"""),36638.57)</f>
        <v>36638.57</v>
      </c>
      <c r="F100" s="29">
        <f>IFERROR(__xludf.DUMMYFUNCTION("""COMPUTED_VALUE"""),2314.550000000003)</f>
        <v>2314.55</v>
      </c>
      <c r="G100" s="29">
        <f>IFERROR(__xludf.DUMMYFUNCTION("""COMPUTED_VALUE"""),38953.12)</f>
        <v>38953.12</v>
      </c>
      <c r="H100" s="29">
        <f>IFERROR(__xludf.DUMMYFUNCTION("""COMPUTED_VALUE"""),194.7656)</f>
        <v>194.7656</v>
      </c>
      <c r="I100" s="28"/>
      <c r="J100" s="29">
        <f>IFERROR(__xludf.DUMMYFUNCTION("""COMPUTED_VALUE"""),194.7656)</f>
        <v>194.7656</v>
      </c>
      <c r="K100" s="28" t="b">
        <v>0</v>
      </c>
      <c r="L100" s="28"/>
    </row>
    <row r="101">
      <c r="A101" s="28">
        <f>IFERROR(__xludf.DUMMYFUNCTION("""COMPUTED_VALUE"""),2.0255106E7)</f>
        <v>20255106</v>
      </c>
      <c r="B101" s="28" t="str">
        <f>IFERROR(__xludf.DUMMYFUNCTION("""COMPUTED_VALUE"""),"John Baumann")</f>
        <v>John Baumann</v>
      </c>
      <c r="C101" s="28" t="b">
        <f>IFERROR(__xludf.DUMMYFUNCTION("""COMPUTED_VALUE"""),TRUE)</f>
        <v>1</v>
      </c>
      <c r="D101" s="51">
        <f>IFERROR(__xludf.DUMMYFUNCTION("""COMPUTED_VALUE"""),0.3846848064991572)</f>
        <v>0.3846848065</v>
      </c>
      <c r="E101" s="29">
        <f>IFERROR(__xludf.DUMMYFUNCTION("""COMPUTED_VALUE"""),24911.68)</f>
        <v>24911.68</v>
      </c>
      <c r="F101" s="29">
        <f>IFERROR(__xludf.DUMMYFUNCTION("""COMPUTED_VALUE"""),307.59000000000015)</f>
        <v>307.59</v>
      </c>
      <c r="G101" s="29">
        <f>IFERROR(__xludf.DUMMYFUNCTION("""COMPUTED_VALUE"""),25219.27)</f>
        <v>25219.27</v>
      </c>
      <c r="H101" s="29">
        <f>IFERROR(__xludf.DUMMYFUNCTION("""COMPUTED_VALUE"""),126.09635)</f>
        <v>126.09635</v>
      </c>
      <c r="I101" s="28"/>
      <c r="J101" s="28"/>
      <c r="K101" s="57"/>
      <c r="L101" s="57"/>
    </row>
    <row r="102">
      <c r="A102" s="28">
        <f>IFERROR(__xludf.DUMMYFUNCTION("""COMPUTED_VALUE"""),2.0255107E7)</f>
        <v>20255107</v>
      </c>
      <c r="B102" s="28" t="str">
        <f>IFERROR(__xludf.DUMMYFUNCTION("""COMPUTED_VALUE"""),"Patti Nicodemus")</f>
        <v>Patti Nicodemus</v>
      </c>
      <c r="C102" s="28" t="b">
        <f>IFERROR(__xludf.DUMMYFUNCTION("""COMPUTED_VALUE"""),TRUE)</f>
        <v>1</v>
      </c>
      <c r="D102" s="51">
        <f>IFERROR(__xludf.DUMMYFUNCTION("""COMPUTED_VALUE"""),0.5178571428571429)</f>
        <v>0.5178571429</v>
      </c>
      <c r="E102" s="29">
        <f>IFERROR(__xludf.DUMMYFUNCTION("""COMPUTED_VALUE"""),560.0)</f>
        <v>560</v>
      </c>
      <c r="F102" s="29">
        <f>IFERROR(__xludf.DUMMYFUNCTION("""COMPUTED_VALUE"""),0.0)</f>
        <v>0</v>
      </c>
      <c r="G102" s="29">
        <f>IFERROR(__xludf.DUMMYFUNCTION("""COMPUTED_VALUE"""),560.0)</f>
        <v>560</v>
      </c>
      <c r="H102" s="29">
        <f>IFERROR(__xludf.DUMMYFUNCTION("""COMPUTED_VALUE"""),2.8000000000000003)</f>
        <v>2.8</v>
      </c>
      <c r="I102" s="28"/>
      <c r="J102" s="28"/>
      <c r="K102" s="57"/>
      <c r="L102" s="57"/>
    </row>
    <row r="103">
      <c r="A103" s="28">
        <f>IFERROR(__xludf.DUMMYFUNCTION("""COMPUTED_VALUE"""),2.0255108E7)</f>
        <v>20255108</v>
      </c>
      <c r="B103" s="28" t="str">
        <f>IFERROR(__xludf.DUMMYFUNCTION("""COMPUTED_VALUE"""),"Barb Knobloch")</f>
        <v>Barb Knobloch</v>
      </c>
      <c r="C103" s="51" t="b">
        <f>IFERROR(__xludf.DUMMYFUNCTION("""COMPUTED_VALUE"""),TRUE)</f>
        <v>1</v>
      </c>
      <c r="D103" s="51">
        <f>IFERROR(__xludf.DUMMYFUNCTION("""COMPUTED_VALUE"""),0.35)</f>
        <v>0.35</v>
      </c>
      <c r="E103" s="29">
        <f>IFERROR(__xludf.DUMMYFUNCTION("""COMPUTED_VALUE"""),400.0)</f>
        <v>400</v>
      </c>
      <c r="F103" s="29">
        <f>IFERROR(__xludf.DUMMYFUNCTION("""COMPUTED_VALUE"""),0.0)</f>
        <v>0</v>
      </c>
      <c r="G103" s="29">
        <f>IFERROR(__xludf.DUMMYFUNCTION("""COMPUTED_VALUE"""),400.0)</f>
        <v>400</v>
      </c>
      <c r="H103" s="29">
        <f>IFERROR(__xludf.DUMMYFUNCTION("""COMPUTED_VALUE"""),2.0)</f>
        <v>2</v>
      </c>
      <c r="I103" s="28"/>
      <c r="J103" s="28"/>
      <c r="K103" s="57"/>
      <c r="L103" s="57"/>
    </row>
    <row r="104">
      <c r="A104" s="28">
        <f>IFERROR(__xludf.DUMMYFUNCTION("""COMPUTED_VALUE"""),2.0255109E7)</f>
        <v>20255109</v>
      </c>
      <c r="B104" s="28" t="str">
        <f>IFERROR(__xludf.DUMMYFUNCTION("""COMPUTED_VALUE"""),"Sam Saylers")</f>
        <v>Sam Saylers</v>
      </c>
      <c r="C104" s="28" t="b">
        <f>IFERROR(__xludf.DUMMYFUNCTION("""COMPUTED_VALUE"""),TRUE)</f>
        <v>1</v>
      </c>
      <c r="D104" s="51">
        <f>IFERROR(__xludf.DUMMYFUNCTION("""COMPUTED_VALUE"""),0.32875097335730036)</f>
        <v>0.3287509734</v>
      </c>
      <c r="E104" s="29">
        <f>IFERROR(__xludf.DUMMYFUNCTION("""COMPUTED_VALUE"""),15115.21)</f>
        <v>15115.21</v>
      </c>
      <c r="F104" s="29">
        <f>IFERROR(__xludf.DUMMYFUNCTION("""COMPUTED_VALUE"""),0.0)</f>
        <v>0</v>
      </c>
      <c r="G104" s="29">
        <f>IFERROR(__xludf.DUMMYFUNCTION("""COMPUTED_VALUE"""),15115.21)</f>
        <v>15115.21</v>
      </c>
      <c r="H104" s="29">
        <f>IFERROR(__xludf.DUMMYFUNCTION("""COMPUTED_VALUE"""),75.57605)</f>
        <v>75.57605</v>
      </c>
      <c r="I104" s="28"/>
      <c r="J104" s="28"/>
      <c r="K104" s="57"/>
      <c r="L104" s="57"/>
    </row>
    <row r="105">
      <c r="A105" s="28">
        <f>IFERROR(__xludf.DUMMYFUNCTION("""COMPUTED_VALUE"""),2.025511E7)</f>
        <v>20255110</v>
      </c>
      <c r="B105" s="28" t="str">
        <f>IFERROR(__xludf.DUMMYFUNCTION("""COMPUTED_VALUE"""),"HBC - Prenger")</f>
        <v>HBC - Prenger</v>
      </c>
      <c r="C105" s="51" t="b">
        <f>IFERROR(__xludf.DUMMYFUNCTION("""COMPUTED_VALUE"""),FALSE)</f>
        <v>0</v>
      </c>
      <c r="D105" s="51" t="str">
        <f>IFERROR(__xludf.DUMMYFUNCTION("""COMPUTED_VALUE"""),"")</f>
        <v/>
      </c>
      <c r="E105" s="29">
        <f>IFERROR(__xludf.DUMMYFUNCTION("""COMPUTED_VALUE"""),21242.28)</f>
        <v>21242.28</v>
      </c>
      <c r="F105" s="29">
        <f>IFERROR(__xludf.DUMMYFUNCTION("""COMPUTED_VALUE"""),0.0)</f>
        <v>0</v>
      </c>
      <c r="G105" s="29">
        <f>IFERROR(__xludf.DUMMYFUNCTION("""COMPUTED_VALUE"""),0.0)</f>
        <v>0</v>
      </c>
      <c r="H105" s="29">
        <f>IFERROR(__xludf.DUMMYFUNCTION("""COMPUTED_VALUE"""),106.2114)</f>
        <v>106.2114</v>
      </c>
      <c r="I105" s="28"/>
      <c r="J105" s="28"/>
      <c r="K105" s="57"/>
      <c r="L105" s="57"/>
    </row>
    <row r="106">
      <c r="A106" s="28">
        <f>IFERROR(__xludf.DUMMYFUNCTION("""COMPUTED_VALUE"""),2.0255111E7)</f>
        <v>20255111</v>
      </c>
      <c r="B106" s="28" t="str">
        <f>IFERROR(__xludf.DUMMYFUNCTION("""COMPUTED_VALUE"""),"Dana Ronnebaum")</f>
        <v>Dana Ronnebaum</v>
      </c>
      <c r="C106" s="28" t="b">
        <f>IFERROR(__xludf.DUMMYFUNCTION("""COMPUTED_VALUE"""),TRUE)</f>
        <v>1</v>
      </c>
      <c r="D106" s="51">
        <f>IFERROR(__xludf.DUMMYFUNCTION("""COMPUTED_VALUE"""),0.38741736644631053)</f>
        <v>0.3874173664</v>
      </c>
      <c r="E106" s="29">
        <f>IFERROR(__xludf.DUMMYFUNCTION("""COMPUTED_VALUE"""),2686.56)</f>
        <v>2686.56</v>
      </c>
      <c r="F106" s="29">
        <f>IFERROR(__xludf.DUMMYFUNCTION("""COMPUTED_VALUE"""),0.0)</f>
        <v>0</v>
      </c>
      <c r="G106" s="29">
        <f>IFERROR(__xludf.DUMMYFUNCTION("""COMPUTED_VALUE"""),2686.56)</f>
        <v>2686.56</v>
      </c>
      <c r="H106" s="29">
        <f>IFERROR(__xludf.DUMMYFUNCTION("""COMPUTED_VALUE"""),13.4328)</f>
        <v>13.4328</v>
      </c>
      <c r="I106" s="28"/>
      <c r="J106" s="28"/>
      <c r="K106" s="57"/>
      <c r="L106" s="57"/>
    </row>
    <row r="107">
      <c r="A107" s="28">
        <f>IFERROR(__xludf.DUMMYFUNCTION("""COMPUTED_VALUE"""),2.0255112E7)</f>
        <v>20255112</v>
      </c>
      <c r="B107" s="28" t="str">
        <f>IFERROR(__xludf.DUMMYFUNCTION("""COMPUTED_VALUE"""),"Tom Bucher")</f>
        <v>Tom Bucher</v>
      </c>
      <c r="C107" s="28" t="b">
        <f>IFERROR(__xludf.DUMMYFUNCTION("""COMPUTED_VALUE"""),TRUE)</f>
        <v>1</v>
      </c>
      <c r="D107" s="51">
        <f>IFERROR(__xludf.DUMMYFUNCTION("""COMPUTED_VALUE"""),0.42053665612306523)</f>
        <v>0.4205366561</v>
      </c>
      <c r="E107" s="29">
        <f>IFERROR(__xludf.DUMMYFUNCTION("""COMPUTED_VALUE"""),13395.17)</f>
        <v>13395.17</v>
      </c>
      <c r="F107" s="29">
        <f>IFERROR(__xludf.DUMMYFUNCTION("""COMPUTED_VALUE"""),0.0)</f>
        <v>0</v>
      </c>
      <c r="G107" s="29">
        <f>IFERROR(__xludf.DUMMYFUNCTION("""COMPUTED_VALUE"""),13395.17)</f>
        <v>13395.17</v>
      </c>
      <c r="H107" s="29">
        <f>IFERROR(__xludf.DUMMYFUNCTION("""COMPUTED_VALUE"""),66.97585000000001)</f>
        <v>66.97585</v>
      </c>
      <c r="I107" s="28"/>
      <c r="J107" s="28"/>
      <c r="K107" s="57"/>
      <c r="L107" s="57"/>
    </row>
    <row r="108">
      <c r="A108" s="28">
        <f>IFERROR(__xludf.DUMMYFUNCTION("""COMPUTED_VALUE"""),2.0255113E7)</f>
        <v>20255113</v>
      </c>
      <c r="B108" s="28" t="str">
        <f>IFERROR(__xludf.DUMMYFUNCTION("""COMPUTED_VALUE"""),"Tyler Kirby - Level MB")</f>
        <v>Tyler Kirby - Level MB</v>
      </c>
      <c r="C108" s="28" t="b">
        <f>IFERROR(__xludf.DUMMYFUNCTION("""COMPUTED_VALUE"""),TRUE)</f>
        <v>1</v>
      </c>
      <c r="D108" s="51">
        <f>IFERROR(__xludf.DUMMYFUNCTION("""COMPUTED_VALUE"""),0.3307304094312119)</f>
        <v>0.3307304094</v>
      </c>
      <c r="E108" s="29">
        <f>IFERROR(__xludf.DUMMYFUNCTION("""COMPUTED_VALUE"""),69607.26)</f>
        <v>69607.26</v>
      </c>
      <c r="F108" s="29">
        <f>IFERROR(__xludf.DUMMYFUNCTION("""COMPUTED_VALUE"""),1051.7400000000052)</f>
        <v>1051.74</v>
      </c>
      <c r="G108" s="29">
        <f>IFERROR(__xludf.DUMMYFUNCTION("""COMPUTED_VALUE"""),70652.26)</f>
        <v>70652.26</v>
      </c>
      <c r="H108" s="29">
        <f>IFERROR(__xludf.DUMMYFUNCTION("""COMPUTED_VALUE"""),353.295)</f>
        <v>353.295</v>
      </c>
      <c r="I108" s="28"/>
      <c r="J108" s="28"/>
      <c r="K108" s="57"/>
      <c r="L108" s="57"/>
    </row>
    <row r="109">
      <c r="A109" s="28">
        <f>IFERROR(__xludf.DUMMYFUNCTION("""COMPUTED_VALUE"""),2.0255114E7)</f>
        <v>20255114</v>
      </c>
      <c r="B109" s="28" t="str">
        <f>IFERROR(__xludf.DUMMYFUNCTION("""COMPUTED_VALUE"""),"Tom Christy")</f>
        <v>Tom Christy</v>
      </c>
      <c r="C109" s="28" t="b">
        <f>IFERROR(__xludf.DUMMYFUNCTION("""COMPUTED_VALUE"""),TRUE)</f>
        <v>1</v>
      </c>
      <c r="D109" s="51">
        <f>IFERROR(__xludf.DUMMYFUNCTION("""COMPUTED_VALUE"""),1.0)</f>
        <v>1</v>
      </c>
      <c r="E109" s="29">
        <f>IFERROR(__xludf.DUMMYFUNCTION("""COMPUTED_VALUE"""),878.98)</f>
        <v>878.98</v>
      </c>
      <c r="F109" s="29">
        <f>IFERROR(__xludf.DUMMYFUNCTION("""COMPUTED_VALUE"""),0.0)</f>
        <v>0</v>
      </c>
      <c r="G109" s="29">
        <f>IFERROR(__xludf.DUMMYFUNCTION("""COMPUTED_VALUE"""),878.98)</f>
        <v>878.98</v>
      </c>
      <c r="H109" s="29">
        <f>IFERROR(__xludf.DUMMYFUNCTION("""COMPUTED_VALUE"""),4.3949)</f>
        <v>4.3949</v>
      </c>
      <c r="I109" s="28"/>
      <c r="J109" s="28"/>
      <c r="K109" s="57"/>
      <c r="L109" s="57"/>
    </row>
    <row r="110">
      <c r="A110" s="28">
        <f>IFERROR(__xludf.DUMMYFUNCTION("""COMPUTED_VALUE"""),2.0255115E7)</f>
        <v>20255115</v>
      </c>
      <c r="B110" s="28" t="str">
        <f>IFERROR(__xludf.DUMMYFUNCTION("""COMPUTED_VALUE"""),"Cortney Frazee")</f>
        <v>Cortney Frazee</v>
      </c>
      <c r="C110" s="28" t="b">
        <f>IFERROR(__xludf.DUMMYFUNCTION("""COMPUTED_VALUE"""),TRUE)</f>
        <v>1</v>
      </c>
      <c r="D110" s="51">
        <f>IFERROR(__xludf.DUMMYFUNCTION("""COMPUTED_VALUE"""),0.45787083487544983)</f>
        <v>0.4578708349</v>
      </c>
      <c r="E110" s="29">
        <f>IFERROR(__xludf.DUMMYFUNCTION("""COMPUTED_VALUE"""),27940.01)</f>
        <v>27940.01</v>
      </c>
      <c r="F110" s="29">
        <f>IFERROR(__xludf.DUMMYFUNCTION("""COMPUTED_VALUE"""),-461.53999999999724)</f>
        <v>-461.54</v>
      </c>
      <c r="G110" s="29">
        <f>IFERROR(__xludf.DUMMYFUNCTION("""COMPUTED_VALUE"""),27478.47)</f>
        <v>27478.47</v>
      </c>
      <c r="H110" s="29">
        <f>IFERROR(__xludf.DUMMYFUNCTION("""COMPUTED_VALUE"""),137.39235000000002)</f>
        <v>137.39235</v>
      </c>
      <c r="I110" s="28"/>
      <c r="J110" s="28"/>
      <c r="K110" s="57"/>
      <c r="L110" s="57"/>
    </row>
    <row r="111">
      <c r="A111" s="28">
        <f>IFERROR(__xludf.DUMMYFUNCTION("""COMPUTED_VALUE"""),2.0255117E7)</f>
        <v>20255117</v>
      </c>
      <c r="B111" s="28" t="str">
        <f>IFERROR(__xludf.DUMMYFUNCTION("""COMPUTED_VALUE"""),"Level MB - Wes Driskell")</f>
        <v>Level MB - Wes Driskell</v>
      </c>
      <c r="C111" s="51" t="b">
        <f>IFERROR(__xludf.DUMMYFUNCTION("""COMPUTED_VALUE"""),TRUE)</f>
        <v>1</v>
      </c>
      <c r="D111" s="51">
        <f>IFERROR(__xludf.DUMMYFUNCTION("""COMPUTED_VALUE"""),0.4737603767875702)</f>
        <v>0.4737603768</v>
      </c>
      <c r="E111" s="29">
        <f>IFERROR(__xludf.DUMMYFUNCTION("""COMPUTED_VALUE"""),1520.22)</f>
        <v>1520.22</v>
      </c>
      <c r="F111" s="29">
        <f>IFERROR(__xludf.DUMMYFUNCTION("""COMPUTED_VALUE"""),0.0)</f>
        <v>0</v>
      </c>
      <c r="G111" s="29">
        <f>IFERROR(__xludf.DUMMYFUNCTION("""COMPUTED_VALUE"""),1520.22)</f>
        <v>1520.22</v>
      </c>
      <c r="H111" s="29">
        <f>IFERROR(__xludf.DUMMYFUNCTION("""COMPUTED_VALUE"""),7.601100000000001)</f>
        <v>7.6011</v>
      </c>
      <c r="I111" s="28"/>
      <c r="J111" s="28"/>
      <c r="K111" s="57"/>
      <c r="L111" s="57"/>
    </row>
    <row r="112">
      <c r="A112" s="28">
        <f>IFERROR(__xludf.DUMMYFUNCTION("""COMPUTED_VALUE"""),2.0255119E7)</f>
        <v>20255119</v>
      </c>
      <c r="B112" s="28" t="str">
        <f>IFERROR(__xludf.DUMMYFUNCTION("""COMPUTED_VALUE"""),"Barry Smith")</f>
        <v>Barry Smith</v>
      </c>
      <c r="C112" s="28" t="b">
        <f>IFERROR(__xludf.DUMMYFUNCTION("""COMPUTED_VALUE"""),TRUE)</f>
        <v>1</v>
      </c>
      <c r="D112" s="51">
        <f>IFERROR(__xludf.DUMMYFUNCTION("""COMPUTED_VALUE"""),0.4783900367579181)</f>
        <v>0.4783900368</v>
      </c>
      <c r="E112" s="29">
        <f>IFERROR(__xludf.DUMMYFUNCTION("""COMPUTED_VALUE"""),2123.61)</f>
        <v>2123.61</v>
      </c>
      <c r="F112" s="29">
        <f>IFERROR(__xludf.DUMMYFUNCTION("""COMPUTED_VALUE"""),259.5499999999997)</f>
        <v>259.55</v>
      </c>
      <c r="G112" s="29">
        <f>IFERROR(__xludf.DUMMYFUNCTION("""COMPUTED_VALUE"""),2383.61)</f>
        <v>2383.61</v>
      </c>
      <c r="H112" s="29">
        <f>IFERROR(__xludf.DUMMYFUNCTION("""COMPUTED_VALUE"""),11.915799999999999)</f>
        <v>11.9158</v>
      </c>
      <c r="I112" s="28"/>
      <c r="J112" s="28"/>
      <c r="K112" s="57"/>
      <c r="L112" s="57"/>
    </row>
    <row r="113">
      <c r="A113" s="28">
        <f>IFERROR(__xludf.DUMMYFUNCTION("""COMPUTED_VALUE"""),2.0255122E7)</f>
        <v>20255122</v>
      </c>
      <c r="B113" s="28" t="str">
        <f>IFERROR(__xludf.DUMMYFUNCTION("""COMPUTED_VALUE"""),"James Zimmerman")</f>
        <v>James Zimmerman</v>
      </c>
      <c r="C113" s="51" t="b">
        <f>IFERROR(__xludf.DUMMYFUNCTION("""COMPUTED_VALUE"""),FALSE)</f>
        <v>0</v>
      </c>
      <c r="D113" s="51" t="str">
        <f>IFERROR(__xludf.DUMMYFUNCTION("""COMPUTED_VALUE"""),"")</f>
        <v/>
      </c>
      <c r="E113" s="29">
        <f>IFERROR(__xludf.DUMMYFUNCTION("""COMPUTED_VALUE"""),3515.26)</f>
        <v>3515.26</v>
      </c>
      <c r="F113" s="29">
        <f>IFERROR(__xludf.DUMMYFUNCTION("""COMPUTED_VALUE"""),0.0)</f>
        <v>0</v>
      </c>
      <c r="G113" s="29">
        <f>IFERROR(__xludf.DUMMYFUNCTION("""COMPUTED_VALUE"""),0.0)</f>
        <v>0</v>
      </c>
      <c r="H113" s="29">
        <f>IFERROR(__xludf.DUMMYFUNCTION("""COMPUTED_VALUE"""),17.5763)</f>
        <v>17.5763</v>
      </c>
      <c r="I113" s="28"/>
      <c r="J113" s="28"/>
      <c r="K113" s="57"/>
      <c r="L113" s="57"/>
    </row>
    <row r="114">
      <c r="A114" s="28">
        <f>IFERROR(__xludf.DUMMYFUNCTION("""COMPUTED_VALUE"""),2.0255123E7)</f>
        <v>20255123</v>
      </c>
      <c r="B114" s="28" t="str">
        <f>IFERROR(__xludf.DUMMYFUNCTION("""COMPUTED_VALUE"""),"Austan  Good")</f>
        <v>Austan  Good</v>
      </c>
      <c r="C114" s="28" t="b">
        <f>IFERROR(__xludf.DUMMYFUNCTION("""COMPUTED_VALUE"""),TRUE)</f>
        <v>1</v>
      </c>
      <c r="D114" s="51">
        <f>IFERROR(__xludf.DUMMYFUNCTION("""COMPUTED_VALUE"""),0.5411271714118845)</f>
        <v>0.5411271714</v>
      </c>
      <c r="E114" s="29">
        <f>IFERROR(__xludf.DUMMYFUNCTION("""COMPUTED_VALUE"""),3133.33)</f>
        <v>3133.33</v>
      </c>
      <c r="F114" s="29">
        <f>IFERROR(__xludf.DUMMYFUNCTION("""COMPUTED_VALUE"""),0.0)</f>
        <v>0</v>
      </c>
      <c r="G114" s="29">
        <f>IFERROR(__xludf.DUMMYFUNCTION("""COMPUTED_VALUE"""),3133.33)</f>
        <v>3133.33</v>
      </c>
      <c r="H114" s="29">
        <f>IFERROR(__xludf.DUMMYFUNCTION("""COMPUTED_VALUE"""),15.66665)</f>
        <v>15.66665</v>
      </c>
      <c r="I114" s="28"/>
      <c r="J114" s="28"/>
      <c r="K114" s="57"/>
      <c r="L114" s="57"/>
    </row>
    <row r="115">
      <c r="A115" s="28">
        <f>IFERROR(__xludf.DUMMYFUNCTION("""COMPUTED_VALUE"""),2.0255124E7)</f>
        <v>20255124</v>
      </c>
      <c r="B115" s="28" t="str">
        <f>IFERROR(__xludf.DUMMYFUNCTION("""COMPUTED_VALUE"""),"Viktoria Cooper")</f>
        <v>Viktoria Cooper</v>
      </c>
      <c r="C115" s="28" t="b">
        <f>IFERROR(__xludf.DUMMYFUNCTION("""COMPUTED_VALUE"""),TRUE)</f>
        <v>1</v>
      </c>
      <c r="D115" s="51">
        <f>IFERROR(__xludf.DUMMYFUNCTION("""COMPUTED_VALUE"""),0.4027377473375324)</f>
        <v>0.4027377473</v>
      </c>
      <c r="E115" s="29">
        <f>IFERROR(__xludf.DUMMYFUNCTION("""COMPUTED_VALUE"""),22611.09)</f>
        <v>22611.09</v>
      </c>
      <c r="F115" s="29">
        <f>IFERROR(__xludf.DUMMYFUNCTION("""COMPUTED_VALUE"""),-208.0)</f>
        <v>-208</v>
      </c>
      <c r="G115" s="29">
        <f>IFERROR(__xludf.DUMMYFUNCTION("""COMPUTED_VALUE"""),14391.95)</f>
        <v>14391.95</v>
      </c>
      <c r="H115" s="29">
        <f>IFERROR(__xludf.DUMMYFUNCTION("""COMPUTED_VALUE"""),112.01545)</f>
        <v>112.01545</v>
      </c>
      <c r="I115" s="28"/>
      <c r="J115" s="28"/>
      <c r="K115" s="57"/>
      <c r="L115" s="57"/>
    </row>
    <row r="116">
      <c r="A116" s="28">
        <f>IFERROR(__xludf.DUMMYFUNCTION("""COMPUTED_VALUE"""),2.0255126E7)</f>
        <v>20255126</v>
      </c>
      <c r="B116" s="28" t="str">
        <f>IFERROR(__xludf.DUMMYFUNCTION("""COMPUTED_VALUE"""),"INS Steve &amp; Karima Buchholz")</f>
        <v>INS Steve &amp; Karima Buchholz</v>
      </c>
      <c r="C116" s="28" t="b">
        <f>IFERROR(__xludf.DUMMYFUNCTION("""COMPUTED_VALUE"""),TRUE)</f>
        <v>1</v>
      </c>
      <c r="D116" s="51">
        <f>IFERROR(__xludf.DUMMYFUNCTION("""COMPUTED_VALUE"""),0.6341976436266733)</f>
        <v>0.6341976436</v>
      </c>
      <c r="E116" s="29">
        <f>IFERROR(__xludf.DUMMYFUNCTION("""COMPUTED_VALUE"""),34536.52)</f>
        <v>34536.52</v>
      </c>
      <c r="F116" s="29">
        <f>IFERROR(__xludf.DUMMYFUNCTION("""COMPUTED_VALUE"""),18059.560000000005)</f>
        <v>18059.56</v>
      </c>
      <c r="G116" s="29">
        <f>IFERROR(__xludf.DUMMYFUNCTION("""COMPUTED_VALUE"""),52596.08)</f>
        <v>52596.08</v>
      </c>
      <c r="H116" s="29">
        <f>IFERROR(__xludf.DUMMYFUNCTION("""COMPUTED_VALUE"""),262.98040000000003)</f>
        <v>262.9804</v>
      </c>
      <c r="I116" s="28"/>
      <c r="J116" s="28"/>
      <c r="K116" s="57"/>
      <c r="L116" s="57"/>
    </row>
    <row r="117">
      <c r="A117" s="28">
        <f>IFERROR(__xludf.DUMMYFUNCTION("""COMPUTED_VALUE"""),2.0255127E7)</f>
        <v>20255127</v>
      </c>
      <c r="B117" s="28" t="str">
        <f>IFERROR(__xludf.DUMMYFUNCTION("""COMPUTED_VALUE"""),"Paulette Schields")</f>
        <v>Paulette Schields</v>
      </c>
      <c r="C117" s="28" t="b">
        <f>IFERROR(__xludf.DUMMYFUNCTION("""COMPUTED_VALUE"""),TRUE)</f>
        <v>1</v>
      </c>
      <c r="D117" s="51">
        <f>IFERROR(__xludf.DUMMYFUNCTION("""COMPUTED_VALUE"""),0.3983678152168349)</f>
        <v>0.3983678152</v>
      </c>
      <c r="E117" s="29">
        <f>IFERROR(__xludf.DUMMYFUNCTION("""COMPUTED_VALUE"""),5693.01)</f>
        <v>5693.01</v>
      </c>
      <c r="F117" s="29">
        <f>IFERROR(__xludf.DUMMYFUNCTION("""COMPUTED_VALUE"""),1925.0)</f>
        <v>1925</v>
      </c>
      <c r="G117" s="29">
        <f>IFERROR(__xludf.DUMMYFUNCTION("""COMPUTED_VALUE"""),7618.01)</f>
        <v>7618.01</v>
      </c>
      <c r="H117" s="29">
        <f>IFERROR(__xludf.DUMMYFUNCTION("""COMPUTED_VALUE"""),38.090050000000005)</f>
        <v>38.09005</v>
      </c>
      <c r="I117" s="28"/>
      <c r="J117" s="28"/>
      <c r="K117" s="57"/>
      <c r="L117" s="57"/>
    </row>
    <row r="118">
      <c r="A118" s="28">
        <f>IFERROR(__xludf.DUMMYFUNCTION("""COMPUTED_VALUE"""),2.0255128E7)</f>
        <v>20255128</v>
      </c>
      <c r="B118" s="28" t="str">
        <f>IFERROR(__xludf.DUMMYFUNCTION("""COMPUTED_VALUE"""),"Oceana Massonneau")</f>
        <v>Oceana Massonneau</v>
      </c>
      <c r="C118" s="28" t="b">
        <f>IFERROR(__xludf.DUMMYFUNCTION("""COMPUTED_VALUE"""),TRUE)</f>
        <v>1</v>
      </c>
      <c r="D118" s="51">
        <f>IFERROR(__xludf.DUMMYFUNCTION("""COMPUTED_VALUE"""),0.4887859370344067)</f>
        <v>0.488785937</v>
      </c>
      <c r="E118" s="29">
        <f>IFERROR(__xludf.DUMMYFUNCTION("""COMPUTED_VALUE"""),28423.05)</f>
        <v>28423.05</v>
      </c>
      <c r="F118" s="29">
        <f>IFERROR(__xludf.DUMMYFUNCTION("""COMPUTED_VALUE"""),203.0600000000013)</f>
        <v>203.06</v>
      </c>
      <c r="G118" s="29">
        <f>IFERROR(__xludf.DUMMYFUNCTION("""COMPUTED_VALUE"""),28626.11)</f>
        <v>28626.11</v>
      </c>
      <c r="H118" s="29">
        <f>IFERROR(__xludf.DUMMYFUNCTION("""COMPUTED_VALUE"""),143.13055)</f>
        <v>143.13055</v>
      </c>
      <c r="I118" s="28"/>
      <c r="J118" s="28"/>
      <c r="K118" s="57"/>
      <c r="L118" s="57"/>
    </row>
    <row r="119">
      <c r="A119" s="28">
        <f>IFERROR(__xludf.DUMMYFUNCTION("""COMPUTED_VALUE"""),2.0255129E7)</f>
        <v>20255129</v>
      </c>
      <c r="B119" s="28" t="str">
        <f>IFERROR(__xludf.DUMMYFUNCTION("""COMPUTED_VALUE"""),"Frank Szmulowicz")</f>
        <v>Frank Szmulowicz</v>
      </c>
      <c r="C119" s="28" t="b">
        <f>IFERROR(__xludf.DUMMYFUNCTION("""COMPUTED_VALUE"""),TRUE)</f>
        <v>1</v>
      </c>
      <c r="D119" s="51">
        <f>IFERROR(__xludf.DUMMYFUNCTION("""COMPUTED_VALUE"""),0.3087694862087954)</f>
        <v>0.3087694862</v>
      </c>
      <c r="E119" s="29">
        <f>IFERROR(__xludf.DUMMYFUNCTION("""COMPUTED_VALUE"""),19140.46)</f>
        <v>19140.46</v>
      </c>
      <c r="F119" s="29">
        <f>IFERROR(__xludf.DUMMYFUNCTION("""COMPUTED_VALUE"""),0.0)</f>
        <v>0</v>
      </c>
      <c r="G119" s="29">
        <f>IFERROR(__xludf.DUMMYFUNCTION("""COMPUTED_VALUE"""),19140.46)</f>
        <v>19140.46</v>
      </c>
      <c r="H119" s="29">
        <f>IFERROR(__xludf.DUMMYFUNCTION("""COMPUTED_VALUE"""),95.7023)</f>
        <v>95.7023</v>
      </c>
      <c r="I119" s="28"/>
      <c r="J119" s="28"/>
      <c r="K119" s="57"/>
      <c r="L119" s="57"/>
    </row>
    <row r="120">
      <c r="A120" s="28">
        <f>IFERROR(__xludf.DUMMYFUNCTION("""COMPUTED_VALUE"""),2.0255131E7)</f>
        <v>20255131</v>
      </c>
      <c r="B120" s="28" t="str">
        <f>IFERROR(__xludf.DUMMYFUNCTION("""COMPUTED_VALUE"""),"Steve Mascarella")</f>
        <v>Steve Mascarella</v>
      </c>
      <c r="C120" s="28" t="b">
        <f>IFERROR(__xludf.DUMMYFUNCTION("""COMPUTED_VALUE"""),TRUE)</f>
        <v>1</v>
      </c>
      <c r="D120" s="51">
        <f>IFERROR(__xludf.DUMMYFUNCTION("""COMPUTED_VALUE"""),0.4121596159885155)</f>
        <v>0.412159616</v>
      </c>
      <c r="E120" s="29">
        <f>IFERROR(__xludf.DUMMYFUNCTION("""COMPUTED_VALUE"""),13209.6)</f>
        <v>13209.6</v>
      </c>
      <c r="F120" s="29">
        <f>IFERROR(__xludf.DUMMYFUNCTION("""COMPUTED_VALUE"""),165.0)</f>
        <v>165</v>
      </c>
      <c r="G120" s="29">
        <f>IFERROR(__xludf.DUMMYFUNCTION("""COMPUTED_VALUE"""),13374.6)</f>
        <v>13374.6</v>
      </c>
      <c r="H120" s="29">
        <f>IFERROR(__xludf.DUMMYFUNCTION("""COMPUTED_VALUE"""),66.873)</f>
        <v>66.873</v>
      </c>
      <c r="I120" s="28"/>
      <c r="J120" s="28"/>
      <c r="K120" s="57"/>
      <c r="L120" s="57"/>
    </row>
    <row r="121">
      <c r="A121" s="28">
        <f>IFERROR(__xludf.DUMMYFUNCTION("""COMPUTED_VALUE"""),2.0255132E7)</f>
        <v>20255132</v>
      </c>
      <c r="B121" s="28" t="str">
        <f>IFERROR(__xludf.DUMMYFUNCTION("""COMPUTED_VALUE"""),"Trevor Lowe")</f>
        <v>Trevor Lowe</v>
      </c>
      <c r="C121" s="28" t="b">
        <f>IFERROR(__xludf.DUMMYFUNCTION("""COMPUTED_VALUE"""),TRUE)</f>
        <v>1</v>
      </c>
      <c r="D121" s="51">
        <f>IFERROR(__xludf.DUMMYFUNCTION("""COMPUTED_VALUE"""),0.3513049739380879)</f>
        <v>0.3513049739</v>
      </c>
      <c r="E121" s="29">
        <f>IFERROR(__xludf.DUMMYFUNCTION("""COMPUTED_VALUE"""),48090.32)</f>
        <v>48090.32</v>
      </c>
      <c r="F121" s="29">
        <f>IFERROR(__xludf.DUMMYFUNCTION("""COMPUTED_VALUE"""),-175.5699999999997)</f>
        <v>-175.57</v>
      </c>
      <c r="G121" s="29">
        <f>IFERROR(__xludf.DUMMYFUNCTION("""COMPUTED_VALUE"""),47914.75)</f>
        <v>47914.75</v>
      </c>
      <c r="H121" s="29">
        <f>IFERROR(__xludf.DUMMYFUNCTION("""COMPUTED_VALUE"""),239.57375000000002)</f>
        <v>239.57375</v>
      </c>
      <c r="I121" s="28"/>
      <c r="J121" s="28"/>
      <c r="K121" s="57"/>
      <c r="L121" s="57"/>
    </row>
    <row r="122">
      <c r="A122" s="28">
        <f>IFERROR(__xludf.DUMMYFUNCTION("""COMPUTED_VALUE"""),2.0255133E7)</f>
        <v>20255133</v>
      </c>
      <c r="B122" s="28" t="str">
        <f>IFERROR(__xludf.DUMMYFUNCTION("""COMPUTED_VALUE"""),"Jenna Kreitzer")</f>
        <v>Jenna Kreitzer</v>
      </c>
      <c r="C122" s="28" t="b">
        <f>IFERROR(__xludf.DUMMYFUNCTION("""COMPUTED_VALUE"""),TRUE)</f>
        <v>1</v>
      </c>
      <c r="D122" s="51">
        <f>IFERROR(__xludf.DUMMYFUNCTION("""COMPUTED_VALUE"""),0.38784433756012243)</f>
        <v>0.3878443376</v>
      </c>
      <c r="E122" s="29">
        <f>IFERROR(__xludf.DUMMYFUNCTION("""COMPUTED_VALUE"""),11685.0)</f>
        <v>11685</v>
      </c>
      <c r="F122" s="29">
        <f>IFERROR(__xludf.DUMMYFUNCTION("""COMPUTED_VALUE"""),-250.0)</f>
        <v>-250</v>
      </c>
      <c r="G122" s="29">
        <f>IFERROR(__xludf.DUMMYFUNCTION("""COMPUTED_VALUE"""),11435.0)</f>
        <v>11435</v>
      </c>
      <c r="H122" s="29">
        <f>IFERROR(__xludf.DUMMYFUNCTION("""COMPUTED_VALUE"""),57.175000000000004)</f>
        <v>57.175</v>
      </c>
      <c r="I122" s="28"/>
      <c r="J122" s="28"/>
      <c r="K122" s="57"/>
      <c r="L122" s="57"/>
    </row>
    <row r="123">
      <c r="A123" s="28">
        <f>IFERROR(__xludf.DUMMYFUNCTION("""COMPUTED_VALUE"""),2.0255134E7)</f>
        <v>20255134</v>
      </c>
      <c r="B123" s="28" t="str">
        <f>IFERROR(__xludf.DUMMYFUNCTION("""COMPUTED_VALUE"""),"INS - Gary Toczylowski")</f>
        <v>INS - Gary Toczylowski</v>
      </c>
      <c r="C123" s="51" t="b">
        <f>IFERROR(__xludf.DUMMYFUNCTION("""COMPUTED_VALUE"""),FALSE)</f>
        <v>0</v>
      </c>
      <c r="D123" s="51" t="str">
        <f>IFERROR(__xludf.DUMMYFUNCTION("""COMPUTED_VALUE"""),"")</f>
        <v/>
      </c>
      <c r="E123" s="29">
        <f>IFERROR(__xludf.DUMMYFUNCTION("""COMPUTED_VALUE"""),6921.11)</f>
        <v>6921.11</v>
      </c>
      <c r="F123" s="29">
        <f>IFERROR(__xludf.DUMMYFUNCTION("""COMPUTED_VALUE"""),0.0)</f>
        <v>0</v>
      </c>
      <c r="G123" s="29">
        <f>IFERROR(__xludf.DUMMYFUNCTION("""COMPUTED_VALUE"""),0.0)</f>
        <v>0</v>
      </c>
      <c r="H123" s="29">
        <f>IFERROR(__xludf.DUMMYFUNCTION("""COMPUTED_VALUE"""),34.60555)</f>
        <v>34.60555</v>
      </c>
      <c r="I123" s="28"/>
      <c r="J123" s="28"/>
      <c r="K123" s="57"/>
      <c r="L123" s="57"/>
    </row>
    <row r="124">
      <c r="A124" s="28">
        <f>IFERROR(__xludf.DUMMYFUNCTION("""COMPUTED_VALUE"""),2.0255135E7)</f>
        <v>20255135</v>
      </c>
      <c r="B124" s="28" t="str">
        <f>IFERROR(__xludf.DUMMYFUNCTION("""COMPUTED_VALUE"""),"INS - Pete Battaglia rental")</f>
        <v>INS - Pete Battaglia rental</v>
      </c>
      <c r="C124" s="28" t="b">
        <f>IFERROR(__xludf.DUMMYFUNCTION("""COMPUTED_VALUE"""),FALSE)</f>
        <v>0</v>
      </c>
      <c r="D124" s="51">
        <f>IFERROR(__xludf.DUMMYFUNCTION("""COMPUTED_VALUE"""),1.0)</f>
        <v>1</v>
      </c>
      <c r="E124" s="29">
        <f>IFERROR(__xludf.DUMMYFUNCTION("""COMPUTED_VALUE"""),40952.52)</f>
        <v>40952.52</v>
      </c>
      <c r="F124" s="29">
        <f>IFERROR(__xludf.DUMMYFUNCTION("""COMPUTED_VALUE"""),0.0)</f>
        <v>0</v>
      </c>
      <c r="G124" s="29">
        <f>IFERROR(__xludf.DUMMYFUNCTION("""COMPUTED_VALUE"""),25450.89)</f>
        <v>25450.89</v>
      </c>
      <c r="H124" s="29">
        <f>IFERROR(__xludf.DUMMYFUNCTION("""COMPUTED_VALUE"""),204.7626)</f>
        <v>204.7626</v>
      </c>
      <c r="I124" s="28"/>
      <c r="J124" s="28"/>
      <c r="K124" s="57"/>
      <c r="L124" s="57"/>
    </row>
    <row r="125">
      <c r="A125" s="28">
        <f>IFERROR(__xludf.DUMMYFUNCTION("""COMPUTED_VALUE"""),2.0255137E7)</f>
        <v>20255137</v>
      </c>
      <c r="B125" s="28" t="str">
        <f>IFERROR(__xludf.DUMMYFUNCTION("""COMPUTED_VALUE"""),"INS - Shawnee Hills Baptist Church")</f>
        <v>INS - Shawnee Hills Baptist Church</v>
      </c>
      <c r="C125" s="28" t="b">
        <f>IFERROR(__xludf.DUMMYFUNCTION("""COMPUTED_VALUE"""),FALSE)</f>
        <v>0</v>
      </c>
      <c r="D125" s="51">
        <f>IFERROR(__xludf.DUMMYFUNCTION("""COMPUTED_VALUE"""),1.0)</f>
        <v>1</v>
      </c>
      <c r="E125" s="29">
        <f>IFERROR(__xludf.DUMMYFUNCTION("""COMPUTED_VALUE"""),362462.87)</f>
        <v>362462.87</v>
      </c>
      <c r="F125" s="29">
        <f>IFERROR(__xludf.DUMMYFUNCTION("""COMPUTED_VALUE"""),0.0)</f>
        <v>0</v>
      </c>
      <c r="G125" s="29">
        <f>IFERROR(__xludf.DUMMYFUNCTION("""COMPUTED_VALUE"""),89378.51)</f>
        <v>89378.51</v>
      </c>
      <c r="H125" s="29">
        <f>IFERROR(__xludf.DUMMYFUNCTION("""COMPUTED_VALUE"""),1812.31435)</f>
        <v>1812.31435</v>
      </c>
      <c r="I125" s="28"/>
      <c r="J125" s="28"/>
      <c r="K125" s="57"/>
      <c r="L125" s="57"/>
    </row>
    <row r="126">
      <c r="A126" s="28">
        <f>IFERROR(__xludf.DUMMYFUNCTION("""COMPUTED_VALUE"""),2.0255138E7)</f>
        <v>20255138</v>
      </c>
      <c r="B126" s="28" t="str">
        <f>IFERROR(__xludf.DUMMYFUNCTION("""COMPUTED_VALUE"""),"INS - Becky Maggert")</f>
        <v>INS - Becky Maggert</v>
      </c>
      <c r="C126" s="28" t="b">
        <f>IFERROR(__xludf.DUMMYFUNCTION("""COMPUTED_VALUE"""),TRUE)</f>
        <v>1</v>
      </c>
      <c r="D126" s="51">
        <f>IFERROR(__xludf.DUMMYFUNCTION("""COMPUTED_VALUE"""),0.6787126104175809)</f>
        <v>0.6787126104</v>
      </c>
      <c r="E126" s="29">
        <f>IFERROR(__xludf.DUMMYFUNCTION("""COMPUTED_VALUE"""),15245.66)</f>
        <v>15245.66</v>
      </c>
      <c r="F126" s="29">
        <f>IFERROR(__xludf.DUMMYFUNCTION("""COMPUTED_VALUE"""),6539.820000000003)</f>
        <v>6539.82</v>
      </c>
      <c r="G126" s="29">
        <f>IFERROR(__xludf.DUMMYFUNCTION("""COMPUTED_VALUE"""),13031.37)</f>
        <v>13031.37</v>
      </c>
      <c r="H126" s="29">
        <f>IFERROR(__xludf.DUMMYFUNCTION("""COMPUTED_VALUE"""),108.92740000000002)</f>
        <v>108.9274</v>
      </c>
      <c r="I126" s="28"/>
      <c r="J126" s="28"/>
      <c r="K126" s="57"/>
      <c r="L126" s="57"/>
    </row>
    <row r="127">
      <c r="A127" s="28">
        <f>IFERROR(__xludf.DUMMYFUNCTION("""COMPUTED_VALUE"""),2.025514E7)</f>
        <v>20255140</v>
      </c>
      <c r="B127" s="28" t="str">
        <f>IFERROR(__xludf.DUMMYFUNCTION("""COMPUTED_VALUE"""),"INS - Melissa Clark")</f>
        <v>INS - Melissa Clark</v>
      </c>
      <c r="C127" s="28" t="b">
        <f>IFERROR(__xludf.DUMMYFUNCTION("""COMPUTED_VALUE"""),TRUE)</f>
        <v>1</v>
      </c>
      <c r="D127" s="51">
        <f>IFERROR(__xludf.DUMMYFUNCTION("""COMPUTED_VALUE"""),1.0)</f>
        <v>1</v>
      </c>
      <c r="E127" s="29">
        <f>IFERROR(__xludf.DUMMYFUNCTION("""COMPUTED_VALUE"""),0.0)</f>
        <v>0</v>
      </c>
      <c r="F127" s="29">
        <f>IFERROR(__xludf.DUMMYFUNCTION("""COMPUTED_VALUE"""),1495.0)</f>
        <v>1495</v>
      </c>
      <c r="G127" s="29">
        <f>IFERROR(__xludf.DUMMYFUNCTION("""COMPUTED_VALUE"""),1495.0)</f>
        <v>1495</v>
      </c>
      <c r="H127" s="29">
        <f>IFERROR(__xludf.DUMMYFUNCTION("""COMPUTED_VALUE"""),7.4750000000000005)</f>
        <v>7.475</v>
      </c>
      <c r="I127" s="28"/>
      <c r="J127" s="28"/>
      <c r="K127" s="57"/>
      <c r="L127" s="57"/>
    </row>
    <row r="128">
      <c r="A128" s="28">
        <f>IFERROR(__xludf.DUMMYFUNCTION("""COMPUTED_VALUE"""),2.0255141E7)</f>
        <v>20255141</v>
      </c>
      <c r="B128" s="28" t="str">
        <f>IFERROR(__xludf.DUMMYFUNCTION("""COMPUTED_VALUE"""),"Shawn Ella Isaac")</f>
        <v>Shawn Ella Isaac</v>
      </c>
      <c r="C128" s="28" t="b">
        <f>IFERROR(__xludf.DUMMYFUNCTION("""COMPUTED_VALUE"""),TRUE)</f>
        <v>1</v>
      </c>
      <c r="D128" s="51">
        <f>IFERROR(__xludf.DUMMYFUNCTION("""COMPUTED_VALUE"""),0.5629224928234096)</f>
        <v>0.5629224928</v>
      </c>
      <c r="E128" s="29">
        <f>IFERROR(__xludf.DUMMYFUNCTION("""COMPUTED_VALUE"""),1511.86)</f>
        <v>1511.86</v>
      </c>
      <c r="F128" s="29">
        <f>IFERROR(__xludf.DUMMYFUNCTION("""COMPUTED_VALUE"""),0.0)</f>
        <v>0</v>
      </c>
      <c r="G128" s="29">
        <f>IFERROR(__xludf.DUMMYFUNCTION("""COMPUTED_VALUE"""),1511.86)</f>
        <v>1511.86</v>
      </c>
      <c r="H128" s="29">
        <f>IFERROR(__xludf.DUMMYFUNCTION("""COMPUTED_VALUE"""),7.5592999999999995)</f>
        <v>7.5593</v>
      </c>
      <c r="I128" s="28"/>
      <c r="J128" s="28"/>
      <c r="K128" s="57"/>
      <c r="L128" s="57"/>
    </row>
    <row r="129">
      <c r="A129" s="28">
        <f>IFERROR(__xludf.DUMMYFUNCTION("""COMPUTED_VALUE"""),2.0255146E7)</f>
        <v>20255146</v>
      </c>
      <c r="B129" s="28" t="str">
        <f>IFERROR(__xludf.DUMMYFUNCTION("""COMPUTED_VALUE"""),"Graham King - E Canal")</f>
        <v>Graham King - E Canal</v>
      </c>
      <c r="C129" s="28" t="b">
        <f>IFERROR(__xludf.DUMMYFUNCTION("""COMPUTED_VALUE"""),TRUE)</f>
        <v>1</v>
      </c>
      <c r="D129" s="51">
        <f>IFERROR(__xludf.DUMMYFUNCTION("""COMPUTED_VALUE"""),0.35519258199061604)</f>
        <v>0.355192582</v>
      </c>
      <c r="E129" s="29">
        <f>IFERROR(__xludf.DUMMYFUNCTION("""COMPUTED_VALUE"""),11765.97)</f>
        <v>11765.97</v>
      </c>
      <c r="F129" s="29">
        <f>IFERROR(__xludf.DUMMYFUNCTION("""COMPUTED_VALUE"""),440.0)</f>
        <v>440</v>
      </c>
      <c r="G129" s="29">
        <f>IFERROR(__xludf.DUMMYFUNCTION("""COMPUTED_VALUE"""),12205.97)</f>
        <v>12205.97</v>
      </c>
      <c r="H129" s="29">
        <f>IFERROR(__xludf.DUMMYFUNCTION("""COMPUTED_VALUE"""),61.029849999999996)</f>
        <v>61.02985</v>
      </c>
      <c r="I129" s="28"/>
      <c r="J129" s="28"/>
      <c r="K129" s="57"/>
      <c r="L129" s="57"/>
    </row>
    <row r="130">
      <c r="A130" s="28">
        <f>IFERROR(__xludf.DUMMYFUNCTION("""COMPUTED_VALUE"""),2.0255147E7)</f>
        <v>20255147</v>
      </c>
      <c r="B130" s="28" t="str">
        <f>IFERROR(__xludf.DUMMYFUNCTION("""COMPUTED_VALUE"""),"INS - Michael Phillips")</f>
        <v>INS - Michael Phillips</v>
      </c>
      <c r="C130" s="28" t="b">
        <f>IFERROR(__xludf.DUMMYFUNCTION("""COMPUTED_VALUE"""),TRUE)</f>
        <v>1</v>
      </c>
      <c r="D130" s="51">
        <f>IFERROR(__xludf.DUMMYFUNCTION("""COMPUTED_VALUE"""),0.5936404695146267)</f>
        <v>0.5936404695</v>
      </c>
      <c r="E130" s="29">
        <f>IFERROR(__xludf.DUMMYFUNCTION("""COMPUTED_VALUE"""),9530.58)</f>
        <v>9530.58</v>
      </c>
      <c r="F130" s="29">
        <f>IFERROR(__xludf.DUMMYFUNCTION("""COMPUTED_VALUE"""),6643.57)</f>
        <v>6643.57</v>
      </c>
      <c r="G130" s="29">
        <f>IFERROR(__xludf.DUMMYFUNCTION("""COMPUTED_VALUE"""),11084.13)</f>
        <v>11084.13</v>
      </c>
      <c r="H130" s="29">
        <f>IFERROR(__xludf.DUMMYFUNCTION("""COMPUTED_VALUE"""),80.87075)</f>
        <v>80.87075</v>
      </c>
      <c r="I130" s="28"/>
      <c r="J130" s="28"/>
      <c r="K130" s="57"/>
      <c r="L130" s="57"/>
    </row>
    <row r="131">
      <c r="A131" s="28">
        <f>IFERROR(__xludf.DUMMYFUNCTION("""COMPUTED_VALUE"""),2.0255148E7)</f>
        <v>20255148</v>
      </c>
      <c r="B131" s="28" t="str">
        <f>IFERROR(__xludf.DUMMYFUNCTION("""COMPUTED_VALUE"""),"Graham King - 10 N Long St")</f>
        <v>Graham King - 10 N Long St</v>
      </c>
      <c r="C131" s="28" t="b">
        <f>IFERROR(__xludf.DUMMYFUNCTION("""COMPUTED_VALUE"""),TRUE)</f>
        <v>1</v>
      </c>
      <c r="D131" s="51">
        <f>IFERROR(__xludf.DUMMYFUNCTION("""COMPUTED_VALUE"""),0.323546033703247)</f>
        <v>0.3235460337</v>
      </c>
      <c r="E131" s="29">
        <f>IFERROR(__xludf.DUMMYFUNCTION("""COMPUTED_VALUE"""),5344.2)</f>
        <v>5344.2</v>
      </c>
      <c r="F131" s="29">
        <f>IFERROR(__xludf.DUMMYFUNCTION("""COMPUTED_VALUE"""),495.0)</f>
        <v>495</v>
      </c>
      <c r="G131" s="29">
        <f>IFERROR(__xludf.DUMMYFUNCTION("""COMPUTED_VALUE"""),5839.2)</f>
        <v>5839.2</v>
      </c>
      <c r="H131" s="29">
        <f>IFERROR(__xludf.DUMMYFUNCTION("""COMPUTED_VALUE"""),29.195999999999998)</f>
        <v>29.196</v>
      </c>
      <c r="I131" s="28"/>
      <c r="J131" s="28"/>
      <c r="K131" s="57"/>
      <c r="L131" s="57"/>
    </row>
    <row r="132">
      <c r="A132" s="28">
        <f>IFERROR(__xludf.DUMMYFUNCTION("""COMPUTED_VALUE"""),2.0255149E7)</f>
        <v>20255149</v>
      </c>
      <c r="B132" s="28" t="str">
        <f>IFERROR(__xludf.DUMMYFUNCTION("""COMPUTED_VALUE"""),"Susan Gayle")</f>
        <v>Susan Gayle</v>
      </c>
      <c r="C132" s="28" t="b">
        <f>IFERROR(__xludf.DUMMYFUNCTION("""COMPUTED_VALUE"""),TRUE)</f>
        <v>1</v>
      </c>
      <c r="D132" s="51">
        <f>IFERROR(__xludf.DUMMYFUNCTION("""COMPUTED_VALUE"""),0.5758422215026846)</f>
        <v>0.5758422215</v>
      </c>
      <c r="E132" s="29">
        <f>IFERROR(__xludf.DUMMYFUNCTION("""COMPUTED_VALUE"""),2069.23)</f>
        <v>2069.23</v>
      </c>
      <c r="F132" s="29">
        <f>IFERROR(__xludf.DUMMYFUNCTION("""COMPUTED_VALUE"""),0.0)</f>
        <v>0</v>
      </c>
      <c r="G132" s="29">
        <f>IFERROR(__xludf.DUMMYFUNCTION("""COMPUTED_VALUE"""),2069.23)</f>
        <v>2069.23</v>
      </c>
      <c r="H132" s="29">
        <f>IFERROR(__xludf.DUMMYFUNCTION("""COMPUTED_VALUE"""),10.34615)</f>
        <v>10.34615</v>
      </c>
      <c r="I132" s="28"/>
      <c r="J132" s="28"/>
      <c r="K132" s="57"/>
      <c r="L132" s="57"/>
    </row>
    <row r="133">
      <c r="A133" s="28">
        <f>IFERROR(__xludf.DUMMYFUNCTION("""COMPUTED_VALUE"""),2.025515E7)</f>
        <v>20255150</v>
      </c>
      <c r="B133" s="28" t="str">
        <f>IFERROR(__xludf.DUMMYFUNCTION("""COMPUTED_VALUE"""),"Brittany Fuls")</f>
        <v>Brittany Fuls</v>
      </c>
      <c r="C133" s="28" t="b">
        <f>IFERROR(__xludf.DUMMYFUNCTION("""COMPUTED_VALUE"""),TRUE)</f>
        <v>1</v>
      </c>
      <c r="D133" s="51">
        <f>IFERROR(__xludf.DUMMYFUNCTION("""COMPUTED_VALUE"""),0.1491898582643581)</f>
        <v>0.1491898583</v>
      </c>
      <c r="E133" s="29">
        <f>IFERROR(__xludf.DUMMYFUNCTION("""COMPUTED_VALUE"""),18193.73)</f>
        <v>18193.73</v>
      </c>
      <c r="F133" s="29">
        <f>IFERROR(__xludf.DUMMYFUNCTION("""COMPUTED_VALUE"""),0.0)</f>
        <v>0</v>
      </c>
      <c r="G133" s="29">
        <f>IFERROR(__xludf.DUMMYFUNCTION("""COMPUTED_VALUE"""),18193.73)</f>
        <v>18193.73</v>
      </c>
      <c r="H133" s="29">
        <f>IFERROR(__xludf.DUMMYFUNCTION("""COMPUTED_VALUE"""),90.96865)</f>
        <v>90.96865</v>
      </c>
      <c r="I133" s="28"/>
      <c r="J133" s="28"/>
      <c r="K133" s="57"/>
      <c r="L133" s="57"/>
    </row>
    <row r="134">
      <c r="A134" s="28">
        <f>IFERROR(__xludf.DUMMYFUNCTION("""COMPUTED_VALUE"""),2.0255152E7)</f>
        <v>20255152</v>
      </c>
      <c r="B134" s="28" t="str">
        <f>IFERROR(__xludf.DUMMYFUNCTION("""COMPUTED_VALUE"""),"Gail Sowers")</f>
        <v>Gail Sowers</v>
      </c>
      <c r="C134" s="28" t="b">
        <f>IFERROR(__xludf.DUMMYFUNCTION("""COMPUTED_VALUE"""),TRUE)</f>
        <v>1</v>
      </c>
      <c r="D134" s="51">
        <f>IFERROR(__xludf.DUMMYFUNCTION("""COMPUTED_VALUE"""),0.37537161085646453)</f>
        <v>0.3753716109</v>
      </c>
      <c r="E134" s="29">
        <f>IFERROR(__xludf.DUMMYFUNCTION("""COMPUTED_VALUE"""),20581.48)</f>
        <v>20581.48</v>
      </c>
      <c r="F134" s="29">
        <f>IFERROR(__xludf.DUMMYFUNCTION("""COMPUTED_VALUE"""),2265.0)</f>
        <v>2265</v>
      </c>
      <c r="G134" s="29">
        <f>IFERROR(__xludf.DUMMYFUNCTION("""COMPUTED_VALUE"""),18615.71)</f>
        <v>18615.71</v>
      </c>
      <c r="H134" s="29">
        <f>IFERROR(__xludf.DUMMYFUNCTION("""COMPUTED_VALUE"""),114.2324)</f>
        <v>114.2324</v>
      </c>
      <c r="I134" s="28"/>
      <c r="J134" s="28"/>
      <c r="K134" s="57"/>
      <c r="L134" s="57"/>
    </row>
    <row r="135">
      <c r="A135" s="28">
        <f>IFERROR(__xludf.DUMMYFUNCTION("""COMPUTED_VALUE"""),2.0255154E7)</f>
        <v>20255154</v>
      </c>
      <c r="B135" s="28" t="str">
        <f>IFERROR(__xludf.DUMMYFUNCTION("""COMPUTED_VALUE"""),"Jill Bachelder")</f>
        <v>Jill Bachelder</v>
      </c>
      <c r="C135" s="28" t="b">
        <f>IFERROR(__xludf.DUMMYFUNCTION("""COMPUTED_VALUE"""),TRUE)</f>
        <v>1</v>
      </c>
      <c r="D135" s="51">
        <f>IFERROR(__xludf.DUMMYFUNCTION("""COMPUTED_VALUE"""),0.45624224944571795)</f>
        <v>0.4562422494</v>
      </c>
      <c r="E135" s="29">
        <f>IFERROR(__xludf.DUMMYFUNCTION("""COMPUTED_VALUE"""),16931.23)</f>
        <v>16931.23</v>
      </c>
      <c r="F135" s="29">
        <f>IFERROR(__xludf.DUMMYFUNCTION("""COMPUTED_VALUE"""),99.81000000000131)</f>
        <v>99.81</v>
      </c>
      <c r="G135" s="29">
        <f>IFERROR(__xludf.DUMMYFUNCTION("""COMPUTED_VALUE"""),17031.04)</f>
        <v>17031.04</v>
      </c>
      <c r="H135" s="29">
        <f>IFERROR(__xludf.DUMMYFUNCTION("""COMPUTED_VALUE"""),85.15520000000001)</f>
        <v>85.1552</v>
      </c>
      <c r="I135" s="28"/>
      <c r="J135" s="28"/>
      <c r="K135" s="57"/>
      <c r="L135" s="57"/>
    </row>
    <row r="136">
      <c r="A136" s="28">
        <f>IFERROR(__xludf.DUMMYFUNCTION("""COMPUTED_VALUE"""),2.0255155E7)</f>
        <v>20255155</v>
      </c>
      <c r="B136" s="28" t="str">
        <f>IFERROR(__xludf.DUMMYFUNCTION("""COMPUTED_VALUE"""),"Ray Kiser")</f>
        <v>Ray Kiser</v>
      </c>
      <c r="C136" s="28" t="b">
        <f>IFERROR(__xludf.DUMMYFUNCTION("""COMPUTED_VALUE"""),TRUE)</f>
        <v>1</v>
      </c>
      <c r="D136" s="51">
        <f>IFERROR(__xludf.DUMMYFUNCTION("""COMPUTED_VALUE"""),0.5172621869746994)</f>
        <v>0.517262187</v>
      </c>
      <c r="E136" s="29">
        <f>IFERROR(__xludf.DUMMYFUNCTION("""COMPUTED_VALUE"""),4640.0)</f>
        <v>4640</v>
      </c>
      <c r="F136" s="29">
        <f>IFERROR(__xludf.DUMMYFUNCTION("""COMPUTED_VALUE"""),0.1999999999998181)</f>
        <v>0.2</v>
      </c>
      <c r="G136" s="29">
        <f>IFERROR(__xludf.DUMMYFUNCTION("""COMPUTED_VALUE"""),4640.2)</f>
        <v>4640.2</v>
      </c>
      <c r="H136" s="29">
        <f>IFERROR(__xludf.DUMMYFUNCTION("""COMPUTED_VALUE"""),23.201)</f>
        <v>23.201</v>
      </c>
      <c r="I136" s="28"/>
      <c r="J136" s="28"/>
      <c r="K136" s="57"/>
      <c r="L136" s="57"/>
    </row>
    <row r="137">
      <c r="A137" s="28">
        <f>IFERROR(__xludf.DUMMYFUNCTION("""COMPUTED_VALUE"""),2.0255156E7)</f>
        <v>20255156</v>
      </c>
      <c r="B137" s="28" t="str">
        <f>IFERROR(__xludf.DUMMYFUNCTION("""COMPUTED_VALUE"""),"Donald Mcghee")</f>
        <v>Donald Mcghee</v>
      </c>
      <c r="C137" s="28" t="b">
        <f>IFERROR(__xludf.DUMMYFUNCTION("""COMPUTED_VALUE"""),TRUE)</f>
        <v>1</v>
      </c>
      <c r="D137" s="51">
        <f>IFERROR(__xludf.DUMMYFUNCTION("""COMPUTED_VALUE"""),0.36456302033880233)</f>
        <v>0.3645630203</v>
      </c>
      <c r="E137" s="29">
        <f>IFERROR(__xludf.DUMMYFUNCTION("""COMPUTED_VALUE"""),17630.3399999999)</f>
        <v>17630.34</v>
      </c>
      <c r="F137" s="29">
        <f>IFERROR(__xludf.DUMMYFUNCTION("""COMPUTED_VALUE"""),1.0186340659856796E-10)</f>
        <v>0.0000000001018634066</v>
      </c>
      <c r="G137" s="29">
        <f>IFERROR(__xludf.DUMMYFUNCTION("""COMPUTED_VALUE"""),17630.34)</f>
        <v>17630.34</v>
      </c>
      <c r="H137" s="29">
        <f>IFERROR(__xludf.DUMMYFUNCTION("""COMPUTED_VALUE"""),88.1517)</f>
        <v>88.1517</v>
      </c>
      <c r="I137" s="28"/>
      <c r="J137" s="28"/>
      <c r="K137" s="57"/>
      <c r="L137" s="57"/>
    </row>
    <row r="138">
      <c r="A138" s="28">
        <f>IFERROR(__xludf.DUMMYFUNCTION("""COMPUTED_VALUE"""),2.0255157E7)</f>
        <v>20255157</v>
      </c>
      <c r="B138" s="28" t="str">
        <f>IFERROR(__xludf.DUMMYFUNCTION("""COMPUTED_VALUE"""),"Barn Gutters - Jared Huelsman")</f>
        <v>Barn Gutters - Jared Huelsman</v>
      </c>
      <c r="C138" s="28" t="b">
        <f>IFERROR(__xludf.DUMMYFUNCTION("""COMPUTED_VALUE"""),TRUE)</f>
        <v>1</v>
      </c>
      <c r="D138" s="51">
        <f>IFERROR(__xludf.DUMMYFUNCTION("""COMPUTED_VALUE"""),0.7157138394251796)</f>
        <v>0.7157138394</v>
      </c>
      <c r="E138" s="29">
        <f>IFERROR(__xludf.DUMMYFUNCTION("""COMPUTED_VALUE"""),3201.0)</f>
        <v>3201</v>
      </c>
      <c r="F138" s="29">
        <f>IFERROR(__xludf.DUMMYFUNCTION("""COMPUTED_VALUE"""),0.0)</f>
        <v>0</v>
      </c>
      <c r="G138" s="29">
        <f>IFERROR(__xludf.DUMMYFUNCTION("""COMPUTED_VALUE"""),3201.0)</f>
        <v>3201</v>
      </c>
      <c r="H138" s="29">
        <f>IFERROR(__xludf.DUMMYFUNCTION("""COMPUTED_VALUE"""),16.005)</f>
        <v>16.005</v>
      </c>
      <c r="I138" s="28"/>
      <c r="J138" s="28"/>
      <c r="K138" s="57"/>
      <c r="L138" s="57"/>
    </row>
    <row r="139">
      <c r="A139" s="28">
        <f>IFERROR(__xludf.DUMMYFUNCTION("""COMPUTED_VALUE"""),2.0255158E7)</f>
        <v>20255158</v>
      </c>
      <c r="B139" s="28" t="str">
        <f>IFERROR(__xludf.DUMMYFUNCTION("""COMPUTED_VALUE"""),"Richard Deitering")</f>
        <v>Richard Deitering</v>
      </c>
      <c r="C139" s="28" t="b">
        <f>IFERROR(__xludf.DUMMYFUNCTION("""COMPUTED_VALUE"""),TRUE)</f>
        <v>1</v>
      </c>
      <c r="D139" s="51">
        <f>IFERROR(__xludf.DUMMYFUNCTION("""COMPUTED_VALUE"""),0.19999735767792737)</f>
        <v>0.1999973577</v>
      </c>
      <c r="E139" s="29">
        <f>IFERROR(__xludf.DUMMYFUNCTION("""COMPUTED_VALUE"""),756.91)</f>
        <v>756.91</v>
      </c>
      <c r="F139" s="29">
        <f>IFERROR(__xludf.DUMMYFUNCTION("""COMPUTED_VALUE"""),0.0)</f>
        <v>0</v>
      </c>
      <c r="G139" s="29">
        <f>IFERROR(__xludf.DUMMYFUNCTION("""COMPUTED_VALUE"""),756.91)</f>
        <v>756.91</v>
      </c>
      <c r="H139" s="29">
        <f>IFERROR(__xludf.DUMMYFUNCTION("""COMPUTED_VALUE"""),3.78455)</f>
        <v>3.78455</v>
      </c>
      <c r="I139" s="28"/>
      <c r="J139" s="28"/>
      <c r="K139" s="57"/>
      <c r="L139" s="57"/>
    </row>
    <row r="140">
      <c r="A140" s="28">
        <f>IFERROR(__xludf.DUMMYFUNCTION("""COMPUTED_VALUE"""),2.0255159E7)</f>
        <v>20255159</v>
      </c>
      <c r="B140" s="28" t="str">
        <f>IFERROR(__xludf.DUMMYFUNCTION("""COMPUTED_VALUE"""),"Vicki Jones")</f>
        <v>Vicki Jones</v>
      </c>
      <c r="C140" s="28" t="b">
        <f>IFERROR(__xludf.DUMMYFUNCTION("""COMPUTED_VALUE"""),TRUE)</f>
        <v>1</v>
      </c>
      <c r="D140" s="51">
        <f>IFERROR(__xludf.DUMMYFUNCTION("""COMPUTED_VALUE"""),0.40082324094424004)</f>
        <v>0.4008232409</v>
      </c>
      <c r="E140" s="29">
        <f>IFERROR(__xludf.DUMMYFUNCTION("""COMPUTED_VALUE"""),9127.34)</f>
        <v>9127.34</v>
      </c>
      <c r="F140" s="29">
        <f>IFERROR(__xludf.DUMMYFUNCTION("""COMPUTED_VALUE"""),0.0)</f>
        <v>0</v>
      </c>
      <c r="G140" s="29">
        <f>IFERROR(__xludf.DUMMYFUNCTION("""COMPUTED_VALUE"""),9127.34)</f>
        <v>9127.34</v>
      </c>
      <c r="H140" s="29">
        <f>IFERROR(__xludf.DUMMYFUNCTION("""COMPUTED_VALUE"""),45.636700000000005)</f>
        <v>45.6367</v>
      </c>
      <c r="I140" s="28"/>
      <c r="J140" s="28"/>
      <c r="K140" s="57"/>
      <c r="L140" s="57"/>
    </row>
    <row r="141">
      <c r="A141" s="28">
        <f>IFERROR(__xludf.DUMMYFUNCTION("""COMPUTED_VALUE"""),2.0255161E7)</f>
        <v>20255161</v>
      </c>
      <c r="B141" s="28" t="str">
        <f>IFERROR(__xludf.DUMMYFUNCTION("""COMPUTED_VALUE"""),"Sarah Bills")</f>
        <v>Sarah Bills</v>
      </c>
      <c r="C141" s="28" t="b">
        <f>IFERROR(__xludf.DUMMYFUNCTION("""COMPUTED_VALUE"""),TRUE)</f>
        <v>1</v>
      </c>
      <c r="D141" s="51">
        <f>IFERROR(__xludf.DUMMYFUNCTION("""COMPUTED_VALUE"""),0.3991911988360886)</f>
        <v>0.3991911988</v>
      </c>
      <c r="E141" s="29">
        <f>IFERROR(__xludf.DUMMYFUNCTION("""COMPUTED_VALUE"""),9630.92)</f>
        <v>9630.92</v>
      </c>
      <c r="F141" s="29">
        <f>IFERROR(__xludf.DUMMYFUNCTION("""COMPUTED_VALUE"""),1284.0)</f>
        <v>1284</v>
      </c>
      <c r="G141" s="29">
        <f>IFERROR(__xludf.DUMMYFUNCTION("""COMPUTED_VALUE"""),10914.92)</f>
        <v>10914.92</v>
      </c>
      <c r="H141" s="29">
        <f>IFERROR(__xludf.DUMMYFUNCTION("""COMPUTED_VALUE"""),54.574600000000004)</f>
        <v>54.5746</v>
      </c>
      <c r="I141" s="28"/>
      <c r="J141" s="28"/>
      <c r="K141" s="57"/>
      <c r="L141" s="57"/>
    </row>
    <row r="142">
      <c r="A142" s="28">
        <f>IFERROR(__xludf.DUMMYFUNCTION("""COMPUTED_VALUE"""),2.0255162E7)</f>
        <v>20255162</v>
      </c>
      <c r="B142" s="28" t="str">
        <f>IFERROR(__xludf.DUMMYFUNCTION("""COMPUTED_VALUE"""),"Ryan Chatterton And Danielle Kelley")</f>
        <v>Ryan Chatterton And Danielle Kelley</v>
      </c>
      <c r="C142" s="28" t="b">
        <f>IFERROR(__xludf.DUMMYFUNCTION("""COMPUTED_VALUE"""),TRUE)</f>
        <v>1</v>
      </c>
      <c r="D142" s="51">
        <f>IFERROR(__xludf.DUMMYFUNCTION("""COMPUTED_VALUE"""),0.5886514297021866)</f>
        <v>0.5886514297</v>
      </c>
      <c r="E142" s="29">
        <f>IFERROR(__xludf.DUMMYFUNCTION("""COMPUTED_VALUE"""),606.42)</f>
        <v>606.42</v>
      </c>
      <c r="F142" s="29">
        <f>IFERROR(__xludf.DUMMYFUNCTION("""COMPUTED_VALUE"""),0.0)</f>
        <v>0</v>
      </c>
      <c r="G142" s="29">
        <f>IFERROR(__xludf.DUMMYFUNCTION("""COMPUTED_VALUE"""),606.42)</f>
        <v>606.42</v>
      </c>
      <c r="H142" s="29">
        <f>IFERROR(__xludf.DUMMYFUNCTION("""COMPUTED_VALUE"""),3.0321)</f>
        <v>3.0321</v>
      </c>
      <c r="I142" s="28"/>
      <c r="J142" s="28"/>
      <c r="K142" s="57"/>
      <c r="L142" s="57"/>
    </row>
    <row r="143">
      <c r="A143" s="28">
        <f>IFERROR(__xludf.DUMMYFUNCTION("""COMPUTED_VALUE"""),2.0255163E7)</f>
        <v>20255163</v>
      </c>
      <c r="B143" s="28" t="str">
        <f>IFERROR(__xludf.DUMMYFUNCTION("""COMPUTED_VALUE"""),"Jason Poling")</f>
        <v>Jason Poling</v>
      </c>
      <c r="C143" s="28" t="b">
        <f>IFERROR(__xludf.DUMMYFUNCTION("""COMPUTED_VALUE"""),TRUE)</f>
        <v>1</v>
      </c>
      <c r="D143" s="51">
        <f>IFERROR(__xludf.DUMMYFUNCTION("""COMPUTED_VALUE"""),0.2155112107623318)</f>
        <v>0.2155112108</v>
      </c>
      <c r="E143" s="29">
        <f>IFERROR(__xludf.DUMMYFUNCTION("""COMPUTED_VALUE"""),2980.0)</f>
        <v>2980</v>
      </c>
      <c r="F143" s="29">
        <f>IFERROR(__xludf.DUMMYFUNCTION("""COMPUTED_VALUE"""),-750.0)</f>
        <v>-750</v>
      </c>
      <c r="G143" s="29">
        <f>IFERROR(__xludf.DUMMYFUNCTION("""COMPUTED_VALUE"""),2230.0)</f>
        <v>2230</v>
      </c>
      <c r="H143" s="29">
        <f>IFERROR(__xludf.DUMMYFUNCTION("""COMPUTED_VALUE"""),11.15)</f>
        <v>11.15</v>
      </c>
      <c r="I143" s="28"/>
      <c r="J143" s="28"/>
      <c r="K143" s="57"/>
      <c r="L143" s="57"/>
    </row>
    <row r="144">
      <c r="A144" s="28">
        <f>IFERROR(__xludf.DUMMYFUNCTION("""COMPUTED_VALUE"""),2.0255164E7)</f>
        <v>20255164</v>
      </c>
      <c r="B144" s="28" t="str">
        <f>IFERROR(__xludf.DUMMYFUNCTION("""COMPUTED_VALUE"""),"Deb Puckett")</f>
        <v>Deb Puckett</v>
      </c>
      <c r="C144" s="28" t="b">
        <f>IFERROR(__xludf.DUMMYFUNCTION("""COMPUTED_VALUE"""),TRUE)</f>
        <v>1</v>
      </c>
      <c r="D144" s="51">
        <f>IFERROR(__xludf.DUMMYFUNCTION("""COMPUTED_VALUE"""),0.2632007106221959)</f>
        <v>0.2632007106</v>
      </c>
      <c r="E144" s="29">
        <f>IFERROR(__xludf.DUMMYFUNCTION("""COMPUTED_VALUE"""),19761.2)</f>
        <v>19761.2</v>
      </c>
      <c r="F144" s="29">
        <f>IFERROR(__xludf.DUMMYFUNCTION("""COMPUTED_VALUE"""),165.0)</f>
        <v>165</v>
      </c>
      <c r="G144" s="29">
        <f>IFERROR(__xludf.DUMMYFUNCTION("""COMPUTED_VALUE"""),19926.2)</f>
        <v>19926.2</v>
      </c>
      <c r="H144" s="29">
        <f>IFERROR(__xludf.DUMMYFUNCTION("""COMPUTED_VALUE"""),99.631)</f>
        <v>99.631</v>
      </c>
      <c r="I144" s="28"/>
      <c r="J144" s="28"/>
      <c r="K144" s="57"/>
      <c r="L144" s="57"/>
    </row>
    <row r="145">
      <c r="A145" s="28">
        <f>IFERROR(__xludf.DUMMYFUNCTION("""COMPUTED_VALUE"""),2.0255165E7)</f>
        <v>20255165</v>
      </c>
      <c r="B145" s="28" t="str">
        <f>IFERROR(__xludf.DUMMYFUNCTION("""COMPUTED_VALUE"""),"Jennifer Pett")</f>
        <v>Jennifer Pett</v>
      </c>
      <c r="C145" s="28" t="b">
        <f>IFERROR(__xludf.DUMMYFUNCTION("""COMPUTED_VALUE"""),TRUE)</f>
        <v>1</v>
      </c>
      <c r="D145" s="51">
        <f>IFERROR(__xludf.DUMMYFUNCTION("""COMPUTED_VALUE"""),0.4031495302589049)</f>
        <v>0.4031495303</v>
      </c>
      <c r="E145" s="29">
        <f>IFERROR(__xludf.DUMMYFUNCTION("""COMPUTED_VALUE"""),24437.93)</f>
        <v>24437.93</v>
      </c>
      <c r="F145" s="29">
        <f>IFERROR(__xludf.DUMMYFUNCTION("""COMPUTED_VALUE"""),0.0)</f>
        <v>0</v>
      </c>
      <c r="G145" s="29">
        <f>IFERROR(__xludf.DUMMYFUNCTION("""COMPUTED_VALUE"""),24437.93)</f>
        <v>24437.93</v>
      </c>
      <c r="H145" s="29">
        <f>IFERROR(__xludf.DUMMYFUNCTION("""COMPUTED_VALUE"""),122.18965)</f>
        <v>122.18965</v>
      </c>
      <c r="I145" s="28"/>
      <c r="J145" s="28"/>
      <c r="K145" s="57"/>
      <c r="L145" s="57"/>
    </row>
    <row r="146">
      <c r="A146" s="28">
        <f>IFERROR(__xludf.DUMMYFUNCTION("""COMPUTED_VALUE"""),2.0255166E7)</f>
        <v>20255166</v>
      </c>
      <c r="B146" s="28" t="str">
        <f>IFERROR(__xludf.DUMMYFUNCTION("""COMPUTED_VALUE"""),"Gary Shoup")</f>
        <v>Gary Shoup</v>
      </c>
      <c r="C146" s="28" t="b">
        <f>IFERROR(__xludf.DUMMYFUNCTION("""COMPUTED_VALUE"""),TRUE)</f>
        <v>1</v>
      </c>
      <c r="D146" s="51">
        <f>IFERROR(__xludf.DUMMYFUNCTION("""COMPUTED_VALUE"""),0.39418813634546007)</f>
        <v>0.3941881363</v>
      </c>
      <c r="E146" s="29">
        <f>IFERROR(__xludf.DUMMYFUNCTION("""COMPUTED_VALUE"""),15929.83)</f>
        <v>15929.83</v>
      </c>
      <c r="F146" s="29">
        <f>IFERROR(__xludf.DUMMYFUNCTION("""COMPUTED_VALUE"""),0.0)</f>
        <v>0</v>
      </c>
      <c r="G146" s="29">
        <f>IFERROR(__xludf.DUMMYFUNCTION("""COMPUTED_VALUE"""),15929.83)</f>
        <v>15929.83</v>
      </c>
      <c r="H146" s="29">
        <f>IFERROR(__xludf.DUMMYFUNCTION("""COMPUTED_VALUE"""),79.64915)</f>
        <v>79.64915</v>
      </c>
      <c r="I146" s="28"/>
      <c r="J146" s="28"/>
      <c r="K146" s="57"/>
      <c r="L146" s="57"/>
    </row>
    <row r="147">
      <c r="A147" s="28">
        <f>IFERROR(__xludf.DUMMYFUNCTION("""COMPUTED_VALUE"""),2.0255167E7)</f>
        <v>20255167</v>
      </c>
      <c r="B147" s="28" t="str">
        <f>IFERROR(__xludf.DUMMYFUNCTION("""COMPUTED_VALUE"""),"Daniel Reed")</f>
        <v>Daniel Reed</v>
      </c>
      <c r="C147" s="28" t="b">
        <f>IFERROR(__xludf.DUMMYFUNCTION("""COMPUTED_VALUE"""),TRUE)</f>
        <v>1</v>
      </c>
      <c r="D147" s="51">
        <f>IFERROR(__xludf.DUMMYFUNCTION("""COMPUTED_VALUE"""),0.2968007107362172)</f>
        <v>0.2968007107</v>
      </c>
      <c r="E147" s="29">
        <f>IFERROR(__xludf.DUMMYFUNCTION("""COMPUTED_VALUE"""),6145.74)</f>
        <v>6145.74</v>
      </c>
      <c r="F147" s="29">
        <f>IFERROR(__xludf.DUMMYFUNCTION("""COMPUTED_VALUE"""),0.0)</f>
        <v>0</v>
      </c>
      <c r="G147" s="29">
        <f>IFERROR(__xludf.DUMMYFUNCTION("""COMPUTED_VALUE"""),6145.74)</f>
        <v>6145.74</v>
      </c>
      <c r="H147" s="29">
        <f>IFERROR(__xludf.DUMMYFUNCTION("""COMPUTED_VALUE"""),30.7287)</f>
        <v>30.7287</v>
      </c>
      <c r="I147" s="28"/>
      <c r="J147" s="28"/>
      <c r="K147" s="57"/>
      <c r="L147" s="57"/>
    </row>
    <row r="148">
      <c r="A148" s="28">
        <f>IFERROR(__xludf.DUMMYFUNCTION("""COMPUTED_VALUE"""),2.0255168E7)</f>
        <v>20255168</v>
      </c>
      <c r="B148" s="28" t="str">
        <f>IFERROR(__xludf.DUMMYFUNCTION("""COMPUTED_VALUE"""),"Dave Koukol")</f>
        <v>Dave Koukol</v>
      </c>
      <c r="C148" s="28" t="b">
        <f>IFERROR(__xludf.DUMMYFUNCTION("""COMPUTED_VALUE"""),TRUE)</f>
        <v>1</v>
      </c>
      <c r="D148" s="51">
        <f>IFERROR(__xludf.DUMMYFUNCTION("""COMPUTED_VALUE"""),0.7448922624877572)</f>
        <v>0.7448922625</v>
      </c>
      <c r="E148" s="29">
        <f>IFERROR(__xludf.DUMMYFUNCTION("""COMPUTED_VALUE"""),2042.0)</f>
        <v>2042</v>
      </c>
      <c r="F148" s="29">
        <f>IFERROR(__xludf.DUMMYFUNCTION("""COMPUTED_VALUE"""),0.0)</f>
        <v>0</v>
      </c>
      <c r="G148" s="29">
        <f>IFERROR(__xludf.DUMMYFUNCTION("""COMPUTED_VALUE"""),2042.0)</f>
        <v>2042</v>
      </c>
      <c r="H148" s="29">
        <f>IFERROR(__xludf.DUMMYFUNCTION("""COMPUTED_VALUE"""),10.21)</f>
        <v>10.21</v>
      </c>
      <c r="I148" s="28"/>
      <c r="J148" s="28"/>
      <c r="K148" s="57"/>
      <c r="L148" s="57"/>
    </row>
    <row r="149">
      <c r="A149" s="28">
        <f>IFERROR(__xludf.DUMMYFUNCTION("""COMPUTED_VALUE"""),2.0255169E7)</f>
        <v>20255169</v>
      </c>
      <c r="B149" s="28" t="str">
        <f>IFERROR(__xludf.DUMMYFUNCTION("""COMPUTED_VALUE"""),"Jennifer Colwell")</f>
        <v>Jennifer Colwell</v>
      </c>
      <c r="C149" s="28" t="b">
        <f>IFERROR(__xludf.DUMMYFUNCTION("""COMPUTED_VALUE"""),TRUE)</f>
        <v>1</v>
      </c>
      <c r="D149" s="51">
        <f>IFERROR(__xludf.DUMMYFUNCTION("""COMPUTED_VALUE"""),0.4625782182034488)</f>
        <v>0.4625782182</v>
      </c>
      <c r="E149" s="29">
        <f>IFERROR(__xludf.DUMMYFUNCTION("""COMPUTED_VALUE"""),6018.42)</f>
        <v>6018.42</v>
      </c>
      <c r="F149" s="29">
        <f>IFERROR(__xludf.DUMMYFUNCTION("""COMPUTED_VALUE"""),0.0)</f>
        <v>0</v>
      </c>
      <c r="G149" s="29">
        <f>IFERROR(__xludf.DUMMYFUNCTION("""COMPUTED_VALUE"""),6018.42)</f>
        <v>6018.42</v>
      </c>
      <c r="H149" s="29">
        <f>IFERROR(__xludf.DUMMYFUNCTION("""COMPUTED_VALUE"""),30.092100000000002)</f>
        <v>30.0921</v>
      </c>
      <c r="I149" s="28"/>
      <c r="J149" s="28"/>
      <c r="K149" s="57"/>
      <c r="L149" s="57"/>
    </row>
    <row r="150">
      <c r="A150" s="28">
        <f>IFERROR(__xludf.DUMMYFUNCTION("""COMPUTED_VALUE"""),2.025517E7)</f>
        <v>20255170</v>
      </c>
      <c r="B150" s="28" t="str">
        <f>IFERROR(__xludf.DUMMYFUNCTION("""COMPUTED_VALUE"""),"Shannon Campbell")</f>
        <v>Shannon Campbell</v>
      </c>
      <c r="C150" s="28" t="b">
        <f>IFERROR(__xludf.DUMMYFUNCTION("""COMPUTED_VALUE"""),TRUE)</f>
        <v>1</v>
      </c>
      <c r="D150" s="51">
        <f>IFERROR(__xludf.DUMMYFUNCTION("""COMPUTED_VALUE"""),0.366262387112205)</f>
        <v>0.3662623871</v>
      </c>
      <c r="E150" s="29">
        <f>IFERROR(__xludf.DUMMYFUNCTION("""COMPUTED_VALUE"""),50631.85)</f>
        <v>50631.85</v>
      </c>
      <c r="F150" s="29">
        <f>IFERROR(__xludf.DUMMYFUNCTION("""COMPUTED_VALUE"""),18814.32)</f>
        <v>18814.32</v>
      </c>
      <c r="G150" s="29">
        <f>IFERROR(__xludf.DUMMYFUNCTION("""COMPUTED_VALUE"""),27355.69)</f>
        <v>27355.69</v>
      </c>
      <c r="H150" s="29">
        <f>IFERROR(__xludf.DUMMYFUNCTION("""COMPUTED_VALUE"""),347.23085)</f>
        <v>347.23085</v>
      </c>
      <c r="I150" s="28"/>
      <c r="J150" s="28"/>
      <c r="K150" s="57"/>
      <c r="L150" s="57"/>
    </row>
    <row r="151">
      <c r="A151" s="28">
        <f>IFERROR(__xludf.DUMMYFUNCTION("""COMPUTED_VALUE"""),2.0255171E7)</f>
        <v>20255171</v>
      </c>
      <c r="B151" s="28" t="str">
        <f>IFERROR(__xludf.DUMMYFUNCTION("""COMPUTED_VALUE"""),"Ben Davis")</f>
        <v>Ben Davis</v>
      </c>
      <c r="C151" s="28" t="b">
        <f>IFERROR(__xludf.DUMMYFUNCTION("""COMPUTED_VALUE"""),TRUE)</f>
        <v>1</v>
      </c>
      <c r="D151" s="51">
        <f>IFERROR(__xludf.DUMMYFUNCTION("""COMPUTED_VALUE"""),0.3986213229338589)</f>
        <v>0.3986213229</v>
      </c>
      <c r="E151" s="29">
        <f>IFERROR(__xludf.DUMMYFUNCTION("""COMPUTED_VALUE"""),10803.11)</f>
        <v>10803.11</v>
      </c>
      <c r="F151" s="29">
        <f>IFERROR(__xludf.DUMMYFUNCTION("""COMPUTED_VALUE"""),0.0)</f>
        <v>0</v>
      </c>
      <c r="G151" s="29">
        <f>IFERROR(__xludf.DUMMYFUNCTION("""COMPUTED_VALUE"""),10803.11)</f>
        <v>10803.11</v>
      </c>
      <c r="H151" s="29">
        <f>IFERROR(__xludf.DUMMYFUNCTION("""COMPUTED_VALUE"""),54.015550000000005)</f>
        <v>54.01555</v>
      </c>
      <c r="I151" s="28"/>
      <c r="J151" s="28"/>
      <c r="K151" s="57"/>
      <c r="L151" s="57"/>
    </row>
    <row r="152">
      <c r="A152" s="28">
        <f>IFERROR(__xludf.DUMMYFUNCTION("""COMPUTED_VALUE"""),2.0255172E7)</f>
        <v>20255172</v>
      </c>
      <c r="B152" s="28" t="str">
        <f>IFERROR(__xludf.DUMMYFUNCTION("""COMPUTED_VALUE"""),"Douglas Swartz")</f>
        <v>Douglas Swartz</v>
      </c>
      <c r="C152" s="28" t="b">
        <f>IFERROR(__xludf.DUMMYFUNCTION("""COMPUTED_VALUE"""),FALSE)</f>
        <v>0</v>
      </c>
      <c r="D152" s="51">
        <f>IFERROR(__xludf.DUMMYFUNCTION("""COMPUTED_VALUE"""),0.3787295664996978)</f>
        <v>0.3787295665</v>
      </c>
      <c r="E152" s="29">
        <f>IFERROR(__xludf.DUMMYFUNCTION("""COMPUTED_VALUE"""),141375.68)</f>
        <v>141375.68</v>
      </c>
      <c r="F152" s="29">
        <f>IFERROR(__xludf.DUMMYFUNCTION("""COMPUTED_VALUE"""),0.0)</f>
        <v>0</v>
      </c>
      <c r="G152" s="29">
        <f>IFERROR(__xludf.DUMMYFUNCTION("""COMPUTED_VALUE"""),141054.19)</f>
        <v>141054.19</v>
      </c>
      <c r="H152" s="29">
        <f>IFERROR(__xludf.DUMMYFUNCTION("""COMPUTED_VALUE"""),706.8783999999999)</f>
        <v>706.8784</v>
      </c>
      <c r="I152" s="28"/>
      <c r="J152" s="28"/>
      <c r="K152" s="57"/>
      <c r="L152" s="57"/>
    </row>
    <row r="153">
      <c r="A153" s="28">
        <f>IFERROR(__xludf.DUMMYFUNCTION("""COMPUTED_VALUE"""),2.0255173E7)</f>
        <v>20255173</v>
      </c>
      <c r="B153" s="28" t="str">
        <f>IFERROR(__xludf.DUMMYFUNCTION("""COMPUTED_VALUE"""),"Sam  Hinker")</f>
        <v>Sam  Hinker</v>
      </c>
      <c r="C153" s="28" t="b">
        <f>IFERROR(__xludf.DUMMYFUNCTION("""COMPUTED_VALUE"""),TRUE)</f>
        <v>1</v>
      </c>
      <c r="D153" s="51">
        <f>IFERROR(__xludf.DUMMYFUNCTION("""COMPUTED_VALUE"""),0.3777866766942262)</f>
        <v>0.3777866767</v>
      </c>
      <c r="E153" s="29">
        <f>IFERROR(__xludf.DUMMYFUNCTION("""COMPUTED_VALUE"""),4095.38)</f>
        <v>4095.38</v>
      </c>
      <c r="F153" s="29">
        <f>IFERROR(__xludf.DUMMYFUNCTION("""COMPUTED_VALUE"""),0.0)</f>
        <v>0</v>
      </c>
      <c r="G153" s="29">
        <f>IFERROR(__xludf.DUMMYFUNCTION("""COMPUTED_VALUE"""),4095.38)</f>
        <v>4095.38</v>
      </c>
      <c r="H153" s="29">
        <f>IFERROR(__xludf.DUMMYFUNCTION("""COMPUTED_VALUE"""),20.4769)</f>
        <v>20.4769</v>
      </c>
      <c r="I153" s="28"/>
      <c r="J153" s="28"/>
      <c r="K153" s="57"/>
      <c r="L153" s="57"/>
    </row>
    <row r="154">
      <c r="A154" s="28">
        <f>IFERROR(__xludf.DUMMYFUNCTION("""COMPUTED_VALUE"""),2.0255174E7)</f>
        <v>20255174</v>
      </c>
      <c r="B154" s="28" t="str">
        <f>IFERROR(__xludf.DUMMYFUNCTION("""COMPUTED_VALUE"""),"Judy Shobe")</f>
        <v>Judy Shobe</v>
      </c>
      <c r="C154" s="28" t="b">
        <f>IFERROR(__xludf.DUMMYFUNCTION("""COMPUTED_VALUE"""),TRUE)</f>
        <v>1</v>
      </c>
      <c r="D154" s="51">
        <f>IFERROR(__xludf.DUMMYFUNCTION("""COMPUTED_VALUE"""),0.4510511765891369)</f>
        <v>0.4510511766</v>
      </c>
      <c r="E154" s="29">
        <f>IFERROR(__xludf.DUMMYFUNCTION("""COMPUTED_VALUE"""),29206.59)</f>
        <v>29206.59</v>
      </c>
      <c r="F154" s="29">
        <f>IFERROR(__xludf.DUMMYFUNCTION("""COMPUTED_VALUE"""),1508.0400000000009)</f>
        <v>1508.04</v>
      </c>
      <c r="G154" s="29">
        <f>IFERROR(__xludf.DUMMYFUNCTION("""COMPUTED_VALUE"""),29206.59)</f>
        <v>29206.59</v>
      </c>
      <c r="H154" s="29">
        <f>IFERROR(__xludf.DUMMYFUNCTION("""COMPUTED_VALUE"""),153.57315)</f>
        <v>153.57315</v>
      </c>
      <c r="I154" s="28"/>
      <c r="J154" s="28"/>
      <c r="K154" s="57"/>
      <c r="L154" s="57"/>
    </row>
    <row r="155">
      <c r="A155" s="28">
        <f>IFERROR(__xludf.DUMMYFUNCTION("""COMPUTED_VALUE"""),2.0255175E7)</f>
        <v>20255175</v>
      </c>
      <c r="B155" s="28" t="str">
        <f>IFERROR(__xludf.DUMMYFUNCTION("""COMPUTED_VALUE"""),"INS - Mark Addison")</f>
        <v>INS - Mark Addison</v>
      </c>
      <c r="C155" s="28" t="b">
        <f>IFERROR(__xludf.DUMMYFUNCTION("""COMPUTED_VALUE"""),FALSE)</f>
        <v>0</v>
      </c>
      <c r="D155" s="51">
        <f>IFERROR(__xludf.DUMMYFUNCTION("""COMPUTED_VALUE"""),1.0)</f>
        <v>1</v>
      </c>
      <c r="E155" s="29">
        <f>IFERROR(__xludf.DUMMYFUNCTION("""COMPUTED_VALUE"""),16216.45)</f>
        <v>16216.45</v>
      </c>
      <c r="F155" s="29">
        <f>IFERROR(__xludf.DUMMYFUNCTION("""COMPUTED_VALUE"""),0.0)</f>
        <v>0</v>
      </c>
      <c r="G155" s="29">
        <f>IFERROR(__xludf.DUMMYFUNCTION("""COMPUTED_VALUE"""),13149.69)</f>
        <v>13149.69</v>
      </c>
      <c r="H155" s="29">
        <f>IFERROR(__xludf.DUMMYFUNCTION("""COMPUTED_VALUE"""),81.08225)</f>
        <v>81.08225</v>
      </c>
      <c r="I155" s="28"/>
      <c r="J155" s="28"/>
      <c r="K155" s="57"/>
      <c r="L155" s="57"/>
    </row>
    <row r="156">
      <c r="A156" s="28">
        <f>IFERROR(__xludf.DUMMYFUNCTION("""COMPUTED_VALUE"""),2.0255177E7)</f>
        <v>20255177</v>
      </c>
      <c r="B156" s="28" t="str">
        <f>IFERROR(__xludf.DUMMYFUNCTION("""COMPUTED_VALUE"""),"Daron Brown")</f>
        <v>Daron Brown</v>
      </c>
      <c r="C156" s="28" t="b">
        <f>IFERROR(__xludf.DUMMYFUNCTION("""COMPUTED_VALUE"""),TRUE)</f>
        <v>1</v>
      </c>
      <c r="D156" s="51">
        <f>IFERROR(__xludf.DUMMYFUNCTION("""COMPUTED_VALUE"""),0.3499223904787732)</f>
        <v>0.3499223905</v>
      </c>
      <c r="E156" s="29">
        <f>IFERROR(__xludf.DUMMYFUNCTION("""COMPUTED_VALUE"""),9476.93)</f>
        <v>9476.93</v>
      </c>
      <c r="F156" s="29">
        <f>IFERROR(__xludf.DUMMYFUNCTION("""COMPUTED_VALUE"""),0.0)</f>
        <v>0</v>
      </c>
      <c r="G156" s="29">
        <f>IFERROR(__xludf.DUMMYFUNCTION("""COMPUTED_VALUE"""),9476.93)</f>
        <v>9476.93</v>
      </c>
      <c r="H156" s="29">
        <f>IFERROR(__xludf.DUMMYFUNCTION("""COMPUTED_VALUE"""),47.38465)</f>
        <v>47.38465</v>
      </c>
      <c r="I156" s="28"/>
      <c r="J156" s="28"/>
      <c r="K156" s="57"/>
      <c r="L156" s="57"/>
    </row>
    <row r="157">
      <c r="A157" s="28">
        <f>IFERROR(__xludf.DUMMYFUNCTION("""COMPUTED_VALUE"""),2.0255178E7)</f>
        <v>20255178</v>
      </c>
      <c r="B157" s="28" t="str">
        <f>IFERROR(__xludf.DUMMYFUNCTION("""COMPUTED_VALUE"""),"Shannon Clark")</f>
        <v>Shannon Clark</v>
      </c>
      <c r="C157" s="28" t="b">
        <f>IFERROR(__xludf.DUMMYFUNCTION("""COMPUTED_VALUE"""),TRUE)</f>
        <v>1</v>
      </c>
      <c r="D157" s="51">
        <f>IFERROR(__xludf.DUMMYFUNCTION("""COMPUTED_VALUE"""),0.28770393013100437)</f>
        <v>0.2877039301</v>
      </c>
      <c r="E157" s="29">
        <f>IFERROR(__xludf.DUMMYFUNCTION("""COMPUTED_VALUE"""),10999.63)</f>
        <v>10999.63</v>
      </c>
      <c r="F157" s="29">
        <f>IFERROR(__xludf.DUMMYFUNCTION("""COMPUTED_VALUE"""),450.3700000000008)</f>
        <v>450.37</v>
      </c>
      <c r="G157" s="29">
        <f>IFERROR(__xludf.DUMMYFUNCTION("""COMPUTED_VALUE"""),11449.63)</f>
        <v>11449.63</v>
      </c>
      <c r="H157" s="29">
        <f>IFERROR(__xludf.DUMMYFUNCTION("""COMPUTED_VALUE"""),57.25)</f>
        <v>57.25</v>
      </c>
      <c r="I157" s="28"/>
      <c r="J157" s="28"/>
      <c r="K157" s="57"/>
      <c r="L157" s="57"/>
    </row>
    <row r="158">
      <c r="A158" s="28">
        <f>IFERROR(__xludf.DUMMYFUNCTION("""COMPUTED_VALUE"""),2.0255179E7)</f>
        <v>20255179</v>
      </c>
      <c r="B158" s="28" t="str">
        <f>IFERROR(__xludf.DUMMYFUNCTION("""COMPUTED_VALUE"""),"Ryan Walker")</f>
        <v>Ryan Walker</v>
      </c>
      <c r="C158" s="28" t="b">
        <f>IFERROR(__xludf.DUMMYFUNCTION("""COMPUTED_VALUE"""),TRUE)</f>
        <v>1</v>
      </c>
      <c r="D158" s="51">
        <f>IFERROR(__xludf.DUMMYFUNCTION("""COMPUTED_VALUE"""),0.49049642502735297)</f>
        <v>0.490496425</v>
      </c>
      <c r="E158" s="29">
        <f>IFERROR(__xludf.DUMMYFUNCTION("""COMPUTED_VALUE"""),20025.57)</f>
        <v>20025.57</v>
      </c>
      <c r="F158" s="29">
        <f>IFERROR(__xludf.DUMMYFUNCTION("""COMPUTED_VALUE"""),2376.0)</f>
        <v>2376</v>
      </c>
      <c r="G158" s="29">
        <f>IFERROR(__xludf.DUMMYFUNCTION("""COMPUTED_VALUE"""),22401.57)</f>
        <v>22401.57</v>
      </c>
      <c r="H158" s="29">
        <f>IFERROR(__xludf.DUMMYFUNCTION("""COMPUTED_VALUE"""),112.00785)</f>
        <v>112.00785</v>
      </c>
      <c r="I158" s="28"/>
      <c r="J158" s="28"/>
      <c r="K158" s="57"/>
      <c r="L158" s="57"/>
    </row>
    <row r="159">
      <c r="A159" s="28">
        <f>IFERROR(__xludf.DUMMYFUNCTION("""COMPUTED_VALUE"""),2.025518E7)</f>
        <v>20255180</v>
      </c>
      <c r="B159" s="28" t="str">
        <f>IFERROR(__xludf.DUMMYFUNCTION("""COMPUTED_VALUE"""),"Kevin Rode")</f>
        <v>Kevin Rode</v>
      </c>
      <c r="C159" s="28" t="b">
        <f>IFERROR(__xludf.DUMMYFUNCTION("""COMPUTED_VALUE"""),TRUE)</f>
        <v>1</v>
      </c>
      <c r="D159" s="51">
        <f>IFERROR(__xludf.DUMMYFUNCTION("""COMPUTED_VALUE"""),1.0)</f>
        <v>1</v>
      </c>
      <c r="E159" s="29">
        <f>IFERROR(__xludf.DUMMYFUNCTION("""COMPUTED_VALUE"""),735.86)</f>
        <v>735.86</v>
      </c>
      <c r="F159" s="29">
        <f>IFERROR(__xludf.DUMMYFUNCTION("""COMPUTED_VALUE"""),0.0)</f>
        <v>0</v>
      </c>
      <c r="G159" s="29">
        <f>IFERROR(__xludf.DUMMYFUNCTION("""COMPUTED_VALUE"""),735.86)</f>
        <v>735.86</v>
      </c>
      <c r="H159" s="29">
        <f>IFERROR(__xludf.DUMMYFUNCTION("""COMPUTED_VALUE"""),3.6793)</f>
        <v>3.6793</v>
      </c>
      <c r="I159" s="28"/>
      <c r="J159" s="28"/>
      <c r="K159" s="57"/>
      <c r="L159" s="57"/>
    </row>
    <row r="160">
      <c r="A160" s="28">
        <f>IFERROR(__xludf.DUMMYFUNCTION("""COMPUTED_VALUE"""),2.0255181E7)</f>
        <v>20255181</v>
      </c>
      <c r="B160" s="28" t="str">
        <f>IFERROR(__xludf.DUMMYFUNCTION("""COMPUTED_VALUE"""),"INS - Andrew Heflin")</f>
        <v>INS - Andrew Heflin</v>
      </c>
      <c r="C160" s="51" t="b">
        <f>IFERROR(__xludf.DUMMYFUNCTION("""COMPUTED_VALUE"""),FALSE)</f>
        <v>0</v>
      </c>
      <c r="D160" s="51">
        <f>IFERROR(__xludf.DUMMYFUNCTION("""COMPUTED_VALUE"""),1.0)</f>
        <v>1</v>
      </c>
      <c r="E160" s="29">
        <f>IFERROR(__xludf.DUMMYFUNCTION("""COMPUTED_VALUE"""),21335.95)</f>
        <v>21335.95</v>
      </c>
      <c r="F160" s="29">
        <f>IFERROR(__xludf.DUMMYFUNCTION("""COMPUTED_VALUE"""),0.0)</f>
        <v>0</v>
      </c>
      <c r="G160" s="29">
        <f>IFERROR(__xludf.DUMMYFUNCTION("""COMPUTED_VALUE"""),23223.31)</f>
        <v>23223.31</v>
      </c>
      <c r="H160" s="29">
        <f>IFERROR(__xludf.DUMMYFUNCTION("""COMPUTED_VALUE"""),106.67975000000001)</f>
        <v>106.67975</v>
      </c>
      <c r="I160" s="28"/>
      <c r="J160" s="28"/>
      <c r="K160" s="57"/>
      <c r="L160" s="57"/>
    </row>
    <row r="161">
      <c r="A161" s="28">
        <f>IFERROR(__xludf.DUMMYFUNCTION("""COMPUTED_VALUE"""),2.0255182E7)</f>
        <v>20255182</v>
      </c>
      <c r="B161" s="28" t="str">
        <f>IFERROR(__xludf.DUMMYFUNCTION("""COMPUTED_VALUE"""),"Don Barry")</f>
        <v>Don Barry</v>
      </c>
      <c r="C161" s="28" t="b">
        <f>IFERROR(__xludf.DUMMYFUNCTION("""COMPUTED_VALUE"""),TRUE)</f>
        <v>1</v>
      </c>
      <c r="D161" s="51">
        <f>IFERROR(__xludf.DUMMYFUNCTION("""COMPUTED_VALUE"""),0.337292964305404)</f>
        <v>0.3372929643</v>
      </c>
      <c r="E161" s="29">
        <f>IFERROR(__xludf.DUMMYFUNCTION("""COMPUTED_VALUE"""),13640.16)</f>
        <v>13640.16</v>
      </c>
      <c r="F161" s="29">
        <f>IFERROR(__xludf.DUMMYFUNCTION("""COMPUTED_VALUE"""),0.0)</f>
        <v>0</v>
      </c>
      <c r="G161" s="29">
        <f>IFERROR(__xludf.DUMMYFUNCTION("""COMPUTED_VALUE"""),13640.16)</f>
        <v>13640.16</v>
      </c>
      <c r="H161" s="29">
        <f>IFERROR(__xludf.DUMMYFUNCTION("""COMPUTED_VALUE"""),68.2008)</f>
        <v>68.2008</v>
      </c>
      <c r="I161" s="28"/>
      <c r="J161" s="28"/>
      <c r="K161" s="57"/>
      <c r="L161" s="57"/>
    </row>
    <row r="162">
      <c r="A162" s="28">
        <f>IFERROR(__xludf.DUMMYFUNCTION("""COMPUTED_VALUE"""),2.0255184E7)</f>
        <v>20255184</v>
      </c>
      <c r="B162" s="28" t="str">
        <f>IFERROR(__xludf.DUMMYFUNCTION("""COMPUTED_VALUE"""),"INS - Peggy Hicks")</f>
        <v>INS - Peggy Hicks</v>
      </c>
      <c r="C162" s="28" t="b">
        <f>IFERROR(__xludf.DUMMYFUNCTION("""COMPUTED_VALUE"""),TRUE)</f>
        <v>1</v>
      </c>
      <c r="D162" s="51">
        <f>IFERROR(__xludf.DUMMYFUNCTION("""COMPUTED_VALUE"""),0.6875514198984368)</f>
        <v>0.6875514199</v>
      </c>
      <c r="E162" s="29">
        <f>IFERROR(__xludf.DUMMYFUNCTION("""COMPUTED_VALUE"""),2169.92)</f>
        <v>2169.92</v>
      </c>
      <c r="F162" s="29">
        <f>IFERROR(__xludf.DUMMYFUNCTION("""COMPUTED_VALUE"""),650.0)</f>
        <v>650</v>
      </c>
      <c r="G162" s="29">
        <f>IFERROR(__xludf.DUMMYFUNCTION("""COMPUTED_VALUE"""),2169.92)</f>
        <v>2169.92</v>
      </c>
      <c r="H162" s="29">
        <f>IFERROR(__xludf.DUMMYFUNCTION("""COMPUTED_VALUE"""),14.0996)</f>
        <v>14.0996</v>
      </c>
      <c r="I162" s="28"/>
      <c r="J162" s="28"/>
      <c r="K162" s="57"/>
      <c r="L162" s="57"/>
    </row>
    <row r="163">
      <c r="A163" s="28">
        <f>IFERROR(__xludf.DUMMYFUNCTION("""COMPUTED_VALUE"""),2.0255185E7)</f>
        <v>20255185</v>
      </c>
      <c r="B163" s="28" t="str">
        <f>IFERROR(__xludf.DUMMYFUNCTION("""COMPUTED_VALUE"""),"Dayton Dreamcenter")</f>
        <v>Dayton Dreamcenter</v>
      </c>
      <c r="C163" s="28" t="b">
        <f>IFERROR(__xludf.DUMMYFUNCTION("""COMPUTED_VALUE"""),TRUE)</f>
        <v>1</v>
      </c>
      <c r="D163" s="51">
        <f>IFERROR(__xludf.DUMMYFUNCTION("""COMPUTED_VALUE"""),0.37700549818017975)</f>
        <v>0.3770054982</v>
      </c>
      <c r="E163" s="29">
        <f>IFERROR(__xludf.DUMMYFUNCTION("""COMPUTED_VALUE"""),1200.0)</f>
        <v>1200</v>
      </c>
      <c r="F163" s="29">
        <f>IFERROR(__xludf.DUMMYFUNCTION("""COMPUTED_VALUE"""),1640.94)</f>
        <v>1640.94</v>
      </c>
      <c r="G163" s="29">
        <f>IFERROR(__xludf.DUMMYFUNCTION("""COMPUTED_VALUE"""),2840.94)</f>
        <v>2840.94</v>
      </c>
      <c r="H163" s="29">
        <f>IFERROR(__xludf.DUMMYFUNCTION("""COMPUTED_VALUE"""),14.2047)</f>
        <v>14.2047</v>
      </c>
      <c r="I163" s="28"/>
      <c r="J163" s="28"/>
      <c r="K163" s="57"/>
      <c r="L163" s="57"/>
    </row>
    <row r="164">
      <c r="A164" s="28">
        <f>IFERROR(__xludf.DUMMYFUNCTION("""COMPUTED_VALUE"""),2.0255186E7)</f>
        <v>20255186</v>
      </c>
      <c r="B164" s="28" t="str">
        <f>IFERROR(__xludf.DUMMYFUNCTION("""COMPUTED_VALUE"""),"Ben Shawley")</f>
        <v>Ben Shawley</v>
      </c>
      <c r="C164" s="28" t="b">
        <f>IFERROR(__xludf.DUMMYFUNCTION("""COMPUTED_VALUE"""),TRUE)</f>
        <v>1</v>
      </c>
      <c r="D164" s="51">
        <f>IFERROR(__xludf.DUMMYFUNCTION("""COMPUTED_VALUE"""),0.41560218435339885)</f>
        <v>0.4156021844</v>
      </c>
      <c r="E164" s="29">
        <f>IFERROR(__xludf.DUMMYFUNCTION("""COMPUTED_VALUE"""),15129.42)</f>
        <v>15129.42</v>
      </c>
      <c r="F164" s="29">
        <f>IFERROR(__xludf.DUMMYFUNCTION("""COMPUTED_VALUE"""),0.0)</f>
        <v>0</v>
      </c>
      <c r="G164" s="29">
        <f>IFERROR(__xludf.DUMMYFUNCTION("""COMPUTED_VALUE"""),15129.42)</f>
        <v>15129.42</v>
      </c>
      <c r="H164" s="29">
        <f>IFERROR(__xludf.DUMMYFUNCTION("""COMPUTED_VALUE"""),75.64710000000001)</f>
        <v>75.6471</v>
      </c>
      <c r="I164" s="28"/>
      <c r="J164" s="28"/>
      <c r="K164" s="57"/>
      <c r="L164" s="57"/>
    </row>
    <row r="165">
      <c r="A165" s="28">
        <f>IFERROR(__xludf.DUMMYFUNCTION("""COMPUTED_VALUE"""),2.0255187E7)</f>
        <v>20255187</v>
      </c>
      <c r="B165" s="28" t="str">
        <f>IFERROR(__xludf.DUMMYFUNCTION("""COMPUTED_VALUE"""),"Pete Stueve")</f>
        <v>Pete Stueve</v>
      </c>
      <c r="C165" s="28" t="b">
        <f>IFERROR(__xludf.DUMMYFUNCTION("""COMPUTED_VALUE"""),FALSE)</f>
        <v>0</v>
      </c>
      <c r="D165" s="51">
        <f>IFERROR(__xludf.DUMMYFUNCTION("""COMPUTED_VALUE"""),1.0)</f>
        <v>1</v>
      </c>
      <c r="E165" s="29">
        <f>IFERROR(__xludf.DUMMYFUNCTION("""COMPUTED_VALUE"""),34019.71)</f>
        <v>34019.71</v>
      </c>
      <c r="F165" s="29">
        <f>IFERROR(__xludf.DUMMYFUNCTION("""COMPUTED_VALUE"""),0.0)</f>
        <v>0</v>
      </c>
      <c r="G165" s="29">
        <f>IFERROR(__xludf.DUMMYFUNCTION("""COMPUTED_VALUE"""),26765.07)</f>
        <v>26765.07</v>
      </c>
      <c r="H165" s="29">
        <f>IFERROR(__xludf.DUMMYFUNCTION("""COMPUTED_VALUE"""),170.09855)</f>
        <v>170.09855</v>
      </c>
      <c r="I165" s="28"/>
      <c r="J165" s="28"/>
      <c r="K165" s="57"/>
      <c r="L165" s="57"/>
    </row>
    <row r="166">
      <c r="A166" s="28">
        <f>IFERROR(__xludf.DUMMYFUNCTION("""COMPUTED_VALUE"""),2.0255188E7)</f>
        <v>20255188</v>
      </c>
      <c r="B166" s="28" t="str">
        <f>IFERROR(__xludf.DUMMYFUNCTION("""COMPUTED_VALUE"""),"Faith Bergen")</f>
        <v>Faith Bergen</v>
      </c>
      <c r="C166" s="28" t="b">
        <f>IFERROR(__xludf.DUMMYFUNCTION("""COMPUTED_VALUE"""),TRUE)</f>
        <v>1</v>
      </c>
      <c r="D166" s="51">
        <f>IFERROR(__xludf.DUMMYFUNCTION("""COMPUTED_VALUE"""),0.37331542508050136)</f>
        <v>0.3733154251</v>
      </c>
      <c r="E166" s="29">
        <f>IFERROR(__xludf.DUMMYFUNCTION("""COMPUTED_VALUE"""),9909.77)</f>
        <v>9909.77</v>
      </c>
      <c r="F166" s="29">
        <f>IFERROR(__xludf.DUMMYFUNCTION("""COMPUTED_VALUE"""),0.0)</f>
        <v>0</v>
      </c>
      <c r="G166" s="29">
        <f>IFERROR(__xludf.DUMMYFUNCTION("""COMPUTED_VALUE"""),9909.77)</f>
        <v>9909.77</v>
      </c>
      <c r="H166" s="29">
        <f>IFERROR(__xludf.DUMMYFUNCTION("""COMPUTED_VALUE"""),49.54885)</f>
        <v>49.54885</v>
      </c>
      <c r="I166" s="28"/>
      <c r="J166" s="28"/>
      <c r="K166" s="57"/>
      <c r="L166" s="57"/>
    </row>
    <row r="167">
      <c r="A167" s="28">
        <f>IFERROR(__xludf.DUMMYFUNCTION("""COMPUTED_VALUE"""),2.0255191E7)</f>
        <v>20255191</v>
      </c>
      <c r="B167" s="28" t="str">
        <f>IFERROR(__xludf.DUMMYFUNCTION("""COMPUTED_VALUE"""),"Jeff Hobbs")</f>
        <v>Jeff Hobbs</v>
      </c>
      <c r="C167" s="28" t="b">
        <f>IFERROR(__xludf.DUMMYFUNCTION("""COMPUTED_VALUE"""),TRUE)</f>
        <v>1</v>
      </c>
      <c r="D167" s="51">
        <f>IFERROR(__xludf.DUMMYFUNCTION("""COMPUTED_VALUE"""),0.4070369733447979)</f>
        <v>0.4070369733</v>
      </c>
      <c r="E167" s="29">
        <f>IFERROR(__xludf.DUMMYFUNCTION("""COMPUTED_VALUE"""),27975.0)</f>
        <v>27975</v>
      </c>
      <c r="F167" s="29">
        <f>IFERROR(__xludf.DUMMYFUNCTION("""COMPUTED_VALUE"""),1100.0)</f>
        <v>1100</v>
      </c>
      <c r="G167" s="29">
        <f>IFERROR(__xludf.DUMMYFUNCTION("""COMPUTED_VALUE"""),29075.0)</f>
        <v>29075</v>
      </c>
      <c r="H167" s="29">
        <f>IFERROR(__xludf.DUMMYFUNCTION("""COMPUTED_VALUE"""),145.375)</f>
        <v>145.375</v>
      </c>
      <c r="I167" s="28"/>
      <c r="J167" s="28"/>
      <c r="K167" s="57"/>
      <c r="L167" s="57"/>
    </row>
    <row r="168">
      <c r="A168" s="28">
        <f>IFERROR(__xludf.DUMMYFUNCTION("""COMPUTED_VALUE"""),2.0255193E7)</f>
        <v>20255193</v>
      </c>
      <c r="B168" s="28" t="str">
        <f>IFERROR(__xludf.DUMMYFUNCTION("""COMPUTED_VALUE"""),"Jerome Hudson")</f>
        <v>Jerome Hudson</v>
      </c>
      <c r="C168" s="28" t="b">
        <f>IFERROR(__xludf.DUMMYFUNCTION("""COMPUTED_VALUE"""),TRUE)</f>
        <v>1</v>
      </c>
      <c r="D168" s="51">
        <f>IFERROR(__xludf.DUMMYFUNCTION("""COMPUTED_VALUE"""),0.37989642108001753)</f>
        <v>0.3798964211</v>
      </c>
      <c r="E168" s="29">
        <f>IFERROR(__xludf.DUMMYFUNCTION("""COMPUTED_VALUE"""),2459.96)</f>
        <v>2459.96</v>
      </c>
      <c r="F168" s="29">
        <f>IFERROR(__xludf.DUMMYFUNCTION("""COMPUTED_VALUE"""),0.0)</f>
        <v>0</v>
      </c>
      <c r="G168" s="29">
        <f>IFERROR(__xludf.DUMMYFUNCTION("""COMPUTED_VALUE"""),2459.96)</f>
        <v>2459.96</v>
      </c>
      <c r="H168" s="29">
        <f>IFERROR(__xludf.DUMMYFUNCTION("""COMPUTED_VALUE"""),12.299800000000001)</f>
        <v>12.2998</v>
      </c>
      <c r="I168" s="28"/>
      <c r="J168" s="28"/>
      <c r="K168" s="57"/>
      <c r="L168" s="57"/>
    </row>
    <row r="169">
      <c r="A169" s="28">
        <f>IFERROR(__xludf.DUMMYFUNCTION("""COMPUTED_VALUE"""),2.0255194E7)</f>
        <v>20255194</v>
      </c>
      <c r="B169" s="28" t="str">
        <f>IFERROR(__xludf.DUMMYFUNCTION("""COMPUTED_VALUE"""),"Brian Mueller")</f>
        <v>Brian Mueller</v>
      </c>
      <c r="C169" s="28" t="b">
        <f>IFERROR(__xludf.DUMMYFUNCTION("""COMPUTED_VALUE"""),FALSE)</f>
        <v>0</v>
      </c>
      <c r="D169" s="51">
        <f>IFERROR(__xludf.DUMMYFUNCTION("""COMPUTED_VALUE"""),0.3641749715985654)</f>
        <v>0.3641749716</v>
      </c>
      <c r="E169" s="29">
        <f>IFERROR(__xludf.DUMMYFUNCTION("""COMPUTED_VALUE"""),39443.43)</f>
        <v>39443.43</v>
      </c>
      <c r="F169" s="29">
        <f>IFERROR(__xludf.DUMMYFUNCTION("""COMPUTED_VALUE"""),0.0)</f>
        <v>0</v>
      </c>
      <c r="G169" s="29">
        <f>IFERROR(__xludf.DUMMYFUNCTION("""COMPUTED_VALUE"""),39196.56)</f>
        <v>39196.56</v>
      </c>
      <c r="H169" s="29">
        <f>IFERROR(__xludf.DUMMYFUNCTION("""COMPUTED_VALUE"""),197.21715)</f>
        <v>197.21715</v>
      </c>
      <c r="I169" s="28"/>
      <c r="J169" s="28"/>
      <c r="K169" s="57"/>
      <c r="L169" s="57"/>
    </row>
    <row r="170">
      <c r="A170" s="28">
        <f>IFERROR(__xludf.DUMMYFUNCTION("""COMPUTED_VALUE"""),2.0255195E7)</f>
        <v>20255195</v>
      </c>
      <c r="B170" s="28" t="str">
        <f>IFERROR(__xludf.DUMMYFUNCTION("""COMPUTED_VALUE"""),"Nancy Avila")</f>
        <v>Nancy Avila</v>
      </c>
      <c r="C170" s="28" t="b">
        <f>IFERROR(__xludf.DUMMYFUNCTION("""COMPUTED_VALUE"""),TRUE)</f>
        <v>1</v>
      </c>
      <c r="D170" s="51">
        <f>IFERROR(__xludf.DUMMYFUNCTION("""COMPUTED_VALUE"""),0.6717820512820513)</f>
        <v>0.6717820513</v>
      </c>
      <c r="E170" s="29">
        <f>IFERROR(__xludf.DUMMYFUNCTION("""COMPUTED_VALUE"""),780.0)</f>
        <v>780</v>
      </c>
      <c r="F170" s="29">
        <f>IFERROR(__xludf.DUMMYFUNCTION("""COMPUTED_VALUE"""),0.0)</f>
        <v>0</v>
      </c>
      <c r="G170" s="29">
        <f>IFERROR(__xludf.DUMMYFUNCTION("""COMPUTED_VALUE"""),780.0)</f>
        <v>780</v>
      </c>
      <c r="H170" s="29">
        <f>IFERROR(__xludf.DUMMYFUNCTION("""COMPUTED_VALUE"""),3.9)</f>
        <v>3.9</v>
      </c>
      <c r="I170" s="28"/>
      <c r="J170" s="28"/>
      <c r="K170" s="57"/>
      <c r="L170" s="57"/>
    </row>
    <row r="171">
      <c r="A171" s="28">
        <f>IFERROR(__xludf.DUMMYFUNCTION("""COMPUTED_VALUE"""),2.0255197E7)</f>
        <v>20255197</v>
      </c>
      <c r="B171" s="28" t="str">
        <f>IFERROR(__xludf.DUMMYFUNCTION("""COMPUTED_VALUE"""),"James Chestnut")</f>
        <v>James Chestnut</v>
      </c>
      <c r="C171" s="28" t="b">
        <f>IFERROR(__xludf.DUMMYFUNCTION("""COMPUTED_VALUE"""),TRUE)</f>
        <v>1</v>
      </c>
      <c r="D171" s="51">
        <f>IFERROR(__xludf.DUMMYFUNCTION("""COMPUTED_VALUE"""),0.6590203883545271)</f>
        <v>0.6590203884</v>
      </c>
      <c r="E171" s="29">
        <f>IFERROR(__xludf.DUMMYFUNCTION("""COMPUTED_VALUE"""),1936.89)</f>
        <v>1936.89</v>
      </c>
      <c r="F171" s="29">
        <f>IFERROR(__xludf.DUMMYFUNCTION("""COMPUTED_VALUE"""),0.0)</f>
        <v>0</v>
      </c>
      <c r="G171" s="29">
        <f>IFERROR(__xludf.DUMMYFUNCTION("""COMPUTED_VALUE"""),1936.89)</f>
        <v>1936.89</v>
      </c>
      <c r="H171" s="29">
        <f>IFERROR(__xludf.DUMMYFUNCTION("""COMPUTED_VALUE"""),9.68445)</f>
        <v>9.68445</v>
      </c>
      <c r="I171" s="28"/>
      <c r="J171" s="28"/>
      <c r="K171" s="57"/>
      <c r="L171" s="57"/>
    </row>
    <row r="172">
      <c r="A172" s="28">
        <f>IFERROR(__xludf.DUMMYFUNCTION("""COMPUTED_VALUE"""),2.0255198E7)</f>
        <v>20255198</v>
      </c>
      <c r="B172" s="28" t="str">
        <f>IFERROR(__xludf.DUMMYFUNCTION("""COMPUTED_VALUE"""),"Dave Linnenkohl - Daughter's House")</f>
        <v>Dave Linnenkohl - Daughter's House</v>
      </c>
      <c r="C172" s="28" t="b">
        <f>IFERROR(__xludf.DUMMYFUNCTION("""COMPUTED_VALUE"""),TRUE)</f>
        <v>1</v>
      </c>
      <c r="D172" s="51">
        <f>IFERROR(__xludf.DUMMYFUNCTION("""COMPUTED_VALUE"""),0.4972210151530019)</f>
        <v>0.4972210152</v>
      </c>
      <c r="E172" s="29">
        <f>IFERROR(__xludf.DUMMYFUNCTION("""COMPUTED_VALUE"""),8565.68)</f>
        <v>8565.68</v>
      </c>
      <c r="F172" s="29">
        <f>IFERROR(__xludf.DUMMYFUNCTION("""COMPUTED_VALUE"""),-5.0)</f>
        <v>-5</v>
      </c>
      <c r="G172" s="29">
        <f>IFERROR(__xludf.DUMMYFUNCTION("""COMPUTED_VALUE"""),8565.68)</f>
        <v>8565.68</v>
      </c>
      <c r="H172" s="29">
        <f>IFERROR(__xludf.DUMMYFUNCTION("""COMPUTED_VALUE"""),42.8034)</f>
        <v>42.8034</v>
      </c>
      <c r="I172" s="28"/>
      <c r="J172" s="28"/>
      <c r="K172" s="57"/>
      <c r="L172" s="57"/>
    </row>
    <row r="173">
      <c r="A173" s="28">
        <f>IFERROR(__xludf.DUMMYFUNCTION("""COMPUTED_VALUE"""),2.0255199E7)</f>
        <v>20255199</v>
      </c>
      <c r="B173" s="28" t="str">
        <f>IFERROR(__xludf.DUMMYFUNCTION("""COMPUTED_VALUE"""),"Sherrill Silvers")</f>
        <v>Sherrill Silvers</v>
      </c>
      <c r="C173" s="28" t="b">
        <f>IFERROR(__xludf.DUMMYFUNCTION("""COMPUTED_VALUE"""),TRUE)</f>
        <v>1</v>
      </c>
      <c r="D173" s="51">
        <f>IFERROR(__xludf.DUMMYFUNCTION("""COMPUTED_VALUE"""),0.5901020500316084)</f>
        <v>0.59010205</v>
      </c>
      <c r="E173" s="29">
        <f>IFERROR(__xludf.DUMMYFUNCTION("""COMPUTED_VALUE"""),4927.85)</f>
        <v>4927.85</v>
      </c>
      <c r="F173" s="29">
        <f>IFERROR(__xludf.DUMMYFUNCTION("""COMPUTED_VALUE"""),55.0)</f>
        <v>55</v>
      </c>
      <c r="G173" s="29">
        <f>IFERROR(__xludf.DUMMYFUNCTION("""COMPUTED_VALUE"""),4982.85)</f>
        <v>4982.85</v>
      </c>
      <c r="H173" s="29">
        <f>IFERROR(__xludf.DUMMYFUNCTION("""COMPUTED_VALUE"""),24.914250000000003)</f>
        <v>24.91425</v>
      </c>
      <c r="I173" s="28"/>
      <c r="J173" s="28"/>
      <c r="K173" s="57"/>
      <c r="L173" s="57"/>
    </row>
    <row r="174">
      <c r="A174" s="28">
        <f>IFERROR(__xludf.DUMMYFUNCTION("""COMPUTED_VALUE"""),2.0255201E7)</f>
        <v>20255201</v>
      </c>
      <c r="B174" s="28" t="str">
        <f>IFERROR(__xludf.DUMMYFUNCTION("""COMPUTED_VALUE"""),"Glenn Westrick")</f>
        <v>Glenn Westrick</v>
      </c>
      <c r="C174" s="28" t="b">
        <f>IFERROR(__xludf.DUMMYFUNCTION("""COMPUTED_VALUE"""),TRUE)</f>
        <v>1</v>
      </c>
      <c r="D174" s="51">
        <f>IFERROR(__xludf.DUMMYFUNCTION("""COMPUTED_VALUE"""),0.6332966629996333)</f>
        <v>0.633296663</v>
      </c>
      <c r="E174" s="29">
        <f>IFERROR(__xludf.DUMMYFUNCTION("""COMPUTED_VALUE"""),545.4)</f>
        <v>545.4</v>
      </c>
      <c r="F174" s="29">
        <f>IFERROR(__xludf.DUMMYFUNCTION("""COMPUTED_VALUE"""),0.0)</f>
        <v>0</v>
      </c>
      <c r="G174" s="29">
        <f>IFERROR(__xludf.DUMMYFUNCTION("""COMPUTED_VALUE"""),545.4)</f>
        <v>545.4</v>
      </c>
      <c r="H174" s="29">
        <f>IFERROR(__xludf.DUMMYFUNCTION("""COMPUTED_VALUE"""),2.727)</f>
        <v>2.727</v>
      </c>
      <c r="I174" s="28"/>
      <c r="J174" s="28"/>
      <c r="K174" s="57"/>
      <c r="L174" s="57"/>
    </row>
    <row r="175">
      <c r="A175" s="28">
        <f>IFERROR(__xludf.DUMMYFUNCTION("""COMPUTED_VALUE"""),2.0255202E7)</f>
        <v>20255202</v>
      </c>
      <c r="B175" s="28" t="str">
        <f>IFERROR(__xludf.DUMMYFUNCTION("""COMPUTED_VALUE"""),"Dayton Dreamcenter")</f>
        <v>Dayton Dreamcenter</v>
      </c>
      <c r="C175" s="28" t="b">
        <f>IFERROR(__xludf.DUMMYFUNCTION("""COMPUTED_VALUE"""),TRUE)</f>
        <v>1</v>
      </c>
      <c r="D175" s="51">
        <f>IFERROR(__xludf.DUMMYFUNCTION("""COMPUTED_VALUE"""),0.6299638989169675)</f>
        <v>0.6299638989</v>
      </c>
      <c r="E175" s="29">
        <f>IFERROR(__xludf.DUMMYFUNCTION("""COMPUTED_VALUE"""),5540.0)</f>
        <v>5540</v>
      </c>
      <c r="F175" s="29">
        <f>IFERROR(__xludf.DUMMYFUNCTION("""COMPUTED_VALUE"""),0.0)</f>
        <v>0</v>
      </c>
      <c r="G175" s="29">
        <f>IFERROR(__xludf.DUMMYFUNCTION("""COMPUTED_VALUE"""),5540.0)</f>
        <v>5540</v>
      </c>
      <c r="H175" s="29">
        <f>IFERROR(__xludf.DUMMYFUNCTION("""COMPUTED_VALUE"""),27.7)</f>
        <v>27.7</v>
      </c>
      <c r="I175" s="28"/>
      <c r="J175" s="28"/>
      <c r="K175" s="57"/>
      <c r="L175" s="57"/>
    </row>
    <row r="176">
      <c r="A176" s="28">
        <f>IFERROR(__xludf.DUMMYFUNCTION("""COMPUTED_VALUE"""),2.0255203E7)</f>
        <v>20255203</v>
      </c>
      <c r="B176" s="28" t="str">
        <f>IFERROR(__xludf.DUMMYFUNCTION("""COMPUTED_VALUE"""),"Tom Menker")</f>
        <v>Tom Menker</v>
      </c>
      <c r="C176" s="28" t="b">
        <f>IFERROR(__xludf.DUMMYFUNCTION("""COMPUTED_VALUE"""),TRUE)</f>
        <v>1</v>
      </c>
      <c r="D176" s="51">
        <f>IFERROR(__xludf.DUMMYFUNCTION("""COMPUTED_VALUE"""),0.3454932239483292)</f>
        <v>0.3454932239</v>
      </c>
      <c r="E176" s="29">
        <f>IFERROR(__xludf.DUMMYFUNCTION("""COMPUTED_VALUE"""),18206.03)</f>
        <v>18206.03</v>
      </c>
      <c r="F176" s="29">
        <f>IFERROR(__xludf.DUMMYFUNCTION("""COMPUTED_VALUE"""),0.0)</f>
        <v>0</v>
      </c>
      <c r="G176" s="29">
        <f>IFERROR(__xludf.DUMMYFUNCTION("""COMPUTED_VALUE"""),18206.03)</f>
        <v>18206.03</v>
      </c>
      <c r="H176" s="29">
        <f>IFERROR(__xludf.DUMMYFUNCTION("""COMPUTED_VALUE"""),91.03014999999999)</f>
        <v>91.03015</v>
      </c>
      <c r="I176" s="28"/>
      <c r="J176" s="28"/>
      <c r="K176" s="57"/>
      <c r="L176" s="57"/>
    </row>
    <row r="177">
      <c r="A177" s="28">
        <f>IFERROR(__xludf.DUMMYFUNCTION("""COMPUTED_VALUE"""),2.0255204E7)</f>
        <v>20255204</v>
      </c>
      <c r="B177" s="28" t="str">
        <f>IFERROR(__xludf.DUMMYFUNCTION("""COMPUTED_VALUE"""),"Dee Scherer")</f>
        <v>Dee Scherer</v>
      </c>
      <c r="C177" s="28" t="b">
        <f>IFERROR(__xludf.DUMMYFUNCTION("""COMPUTED_VALUE"""),TRUE)</f>
        <v>1</v>
      </c>
      <c r="D177" s="51">
        <f>IFERROR(__xludf.DUMMYFUNCTION("""COMPUTED_VALUE"""),0.7619047619047619)</f>
        <v>0.7619047619</v>
      </c>
      <c r="E177" s="29">
        <f>IFERROR(__xludf.DUMMYFUNCTION("""COMPUTED_VALUE"""),2520.0)</f>
        <v>2520</v>
      </c>
      <c r="F177" s="29">
        <f>IFERROR(__xludf.DUMMYFUNCTION("""COMPUTED_VALUE"""),0.0)</f>
        <v>0</v>
      </c>
      <c r="G177" s="29">
        <f>IFERROR(__xludf.DUMMYFUNCTION("""COMPUTED_VALUE"""),2520.0)</f>
        <v>2520</v>
      </c>
      <c r="H177" s="29">
        <f>IFERROR(__xludf.DUMMYFUNCTION("""COMPUTED_VALUE"""),12.6)</f>
        <v>12.6</v>
      </c>
      <c r="I177" s="28"/>
      <c r="J177" s="28"/>
      <c r="K177" s="57"/>
      <c r="L177" s="57"/>
    </row>
    <row r="178">
      <c r="A178" s="28">
        <f>IFERROR(__xludf.DUMMYFUNCTION("""COMPUTED_VALUE"""),2.0255206E7)</f>
        <v>20255206</v>
      </c>
      <c r="B178" s="28" t="str">
        <f>IFERROR(__xludf.DUMMYFUNCTION("""COMPUTED_VALUE"""),"William Barrett")</f>
        <v>William Barrett</v>
      </c>
      <c r="C178" s="28" t="b">
        <f>IFERROR(__xludf.DUMMYFUNCTION("""COMPUTED_VALUE"""),TRUE)</f>
        <v>1</v>
      </c>
      <c r="D178" s="51">
        <f>IFERROR(__xludf.DUMMYFUNCTION("""COMPUTED_VALUE"""),0.4000010404636306)</f>
        <v>0.4000010405</v>
      </c>
      <c r="E178" s="29">
        <f>IFERROR(__xludf.DUMMYFUNCTION("""COMPUTED_VALUE"""),5766.66)</f>
        <v>5766.66</v>
      </c>
      <c r="F178" s="29">
        <f>IFERROR(__xludf.DUMMYFUNCTION("""COMPUTED_VALUE"""),0.0)</f>
        <v>0</v>
      </c>
      <c r="G178" s="29">
        <f>IFERROR(__xludf.DUMMYFUNCTION("""COMPUTED_VALUE"""),5766.66)</f>
        <v>5766.66</v>
      </c>
      <c r="H178" s="29">
        <f>IFERROR(__xludf.DUMMYFUNCTION("""COMPUTED_VALUE"""),28.8333)</f>
        <v>28.8333</v>
      </c>
      <c r="I178" s="28"/>
      <c r="J178" s="28"/>
      <c r="K178" s="57"/>
      <c r="L178" s="57"/>
    </row>
    <row r="179">
      <c r="A179" s="28">
        <f>IFERROR(__xludf.DUMMYFUNCTION("""COMPUTED_VALUE"""),2.0255208E7)</f>
        <v>20255208</v>
      </c>
      <c r="B179" s="28" t="str">
        <f>IFERROR(__xludf.DUMMYFUNCTION("""COMPUTED_VALUE"""),"Bryant Mullinix")</f>
        <v>Bryant Mullinix</v>
      </c>
      <c r="C179" s="28" t="b">
        <f>IFERROR(__xludf.DUMMYFUNCTION("""COMPUTED_VALUE"""),TRUE)</f>
        <v>1</v>
      </c>
      <c r="D179" s="51">
        <f>IFERROR(__xludf.DUMMYFUNCTION("""COMPUTED_VALUE"""),0.411280414518843)</f>
        <v>0.4112804145</v>
      </c>
      <c r="E179" s="29">
        <f>IFERROR(__xludf.DUMMYFUNCTION("""COMPUTED_VALUE"""),1222.64)</f>
        <v>1222.64</v>
      </c>
      <c r="F179" s="29">
        <f>IFERROR(__xludf.DUMMYFUNCTION("""COMPUTED_VALUE"""),275.0)</f>
        <v>275</v>
      </c>
      <c r="G179" s="29">
        <f>IFERROR(__xludf.DUMMYFUNCTION("""COMPUTED_VALUE"""),1497.64)</f>
        <v>1497.64</v>
      </c>
      <c r="H179" s="29">
        <f>IFERROR(__xludf.DUMMYFUNCTION("""COMPUTED_VALUE"""),7.488200000000001)</f>
        <v>7.4882</v>
      </c>
      <c r="I179" s="28"/>
      <c r="J179" s="28"/>
      <c r="K179" s="57"/>
      <c r="L179" s="57"/>
    </row>
    <row r="180">
      <c r="A180" s="28">
        <f>IFERROR(__xludf.DUMMYFUNCTION("""COMPUTED_VALUE"""),2.0255209E7)</f>
        <v>20255209</v>
      </c>
      <c r="B180" s="28" t="str">
        <f>IFERROR(__xludf.DUMMYFUNCTION("""COMPUTED_VALUE"""),"INS - Heidi Yost")</f>
        <v>INS - Heidi Yost</v>
      </c>
      <c r="C180" s="51" t="b">
        <f>IFERROR(__xludf.DUMMYFUNCTION("""COMPUTED_VALUE"""),FALSE)</f>
        <v>0</v>
      </c>
      <c r="D180" s="51" t="str">
        <f>IFERROR(__xludf.DUMMYFUNCTION("""COMPUTED_VALUE"""),"")</f>
        <v/>
      </c>
      <c r="E180" s="29">
        <f>IFERROR(__xludf.DUMMYFUNCTION("""COMPUTED_VALUE"""),0.0)</f>
        <v>0</v>
      </c>
      <c r="F180" s="29">
        <f>IFERROR(__xludf.DUMMYFUNCTION("""COMPUTED_VALUE"""),0.0)</f>
        <v>0</v>
      </c>
      <c r="G180" s="29">
        <f>IFERROR(__xludf.DUMMYFUNCTION("""COMPUTED_VALUE"""),0.0)</f>
        <v>0</v>
      </c>
      <c r="H180" s="29">
        <f>IFERROR(__xludf.DUMMYFUNCTION("""COMPUTED_VALUE"""),0.0)</f>
        <v>0</v>
      </c>
      <c r="I180" s="28"/>
      <c r="J180" s="28"/>
      <c r="K180" s="57"/>
      <c r="L180" s="57"/>
    </row>
    <row r="181">
      <c r="A181" s="28">
        <f>IFERROR(__xludf.DUMMYFUNCTION("""COMPUTED_VALUE"""),2.025521E7)</f>
        <v>20255210</v>
      </c>
      <c r="B181" s="28" t="str">
        <f>IFERROR(__xludf.DUMMYFUNCTION("""COMPUTED_VALUE"""),"INS - Teresa Luciano")</f>
        <v>INS - Teresa Luciano</v>
      </c>
      <c r="C181" s="28" t="b">
        <f>IFERROR(__xludf.DUMMYFUNCTION("""COMPUTED_VALUE"""),FALSE)</f>
        <v>0</v>
      </c>
      <c r="D181" s="51">
        <f>IFERROR(__xludf.DUMMYFUNCTION("""COMPUTED_VALUE"""),0.3445941532883198)</f>
        <v>0.3445941533</v>
      </c>
      <c r="E181" s="29">
        <f>IFERROR(__xludf.DUMMYFUNCTION("""COMPUTED_VALUE"""),29090.54)</f>
        <v>29090.54</v>
      </c>
      <c r="F181" s="29">
        <f>IFERROR(__xludf.DUMMYFUNCTION("""COMPUTED_VALUE"""),0.0)</f>
        <v>0</v>
      </c>
      <c r="G181" s="29">
        <f>IFERROR(__xludf.DUMMYFUNCTION("""COMPUTED_VALUE"""),28590.54)</f>
        <v>28590.54</v>
      </c>
      <c r="H181" s="29">
        <f>IFERROR(__xludf.DUMMYFUNCTION("""COMPUTED_VALUE"""),145.45270000000002)</f>
        <v>145.4527</v>
      </c>
      <c r="I181" s="28"/>
      <c r="J181" s="28"/>
      <c r="K181" s="57"/>
      <c r="L181" s="57"/>
    </row>
    <row r="182">
      <c r="A182" s="28">
        <f>IFERROR(__xludf.DUMMYFUNCTION("""COMPUTED_VALUE"""),2.0255211E7)</f>
        <v>20255211</v>
      </c>
      <c r="B182" s="28" t="str">
        <f>IFERROR(__xludf.DUMMYFUNCTION("""COMPUTED_VALUE"""),"Cathy Spence")</f>
        <v>Cathy Spence</v>
      </c>
      <c r="C182" s="28" t="b">
        <f>IFERROR(__xludf.DUMMYFUNCTION("""COMPUTED_VALUE"""),TRUE)</f>
        <v>1</v>
      </c>
      <c r="D182" s="51">
        <f>IFERROR(__xludf.DUMMYFUNCTION("""COMPUTED_VALUE"""),0.371055)</f>
        <v>0.371055</v>
      </c>
      <c r="E182" s="29">
        <f>IFERROR(__xludf.DUMMYFUNCTION("""COMPUTED_VALUE"""),10118.21)</f>
        <v>10118.21</v>
      </c>
      <c r="F182" s="29">
        <f>IFERROR(__xludf.DUMMYFUNCTION("""COMPUTED_VALUE"""),-118.20999999999913)</f>
        <v>-118.21</v>
      </c>
      <c r="G182" s="29">
        <f>IFERROR(__xludf.DUMMYFUNCTION("""COMPUTED_VALUE"""),12068.21)</f>
        <v>12068.21</v>
      </c>
      <c r="H182" s="29">
        <f>IFERROR(__xludf.DUMMYFUNCTION("""COMPUTED_VALUE"""),50.0)</f>
        <v>50</v>
      </c>
      <c r="I182" s="28"/>
      <c r="J182" s="28"/>
      <c r="K182" s="57"/>
      <c r="L182" s="57"/>
    </row>
    <row r="183">
      <c r="A183" s="28">
        <f>IFERROR(__xludf.DUMMYFUNCTION("""COMPUTED_VALUE"""),2.0255212E7)</f>
        <v>20255212</v>
      </c>
      <c r="B183" s="28" t="str">
        <f>IFERROR(__xludf.DUMMYFUNCTION("""COMPUTED_VALUE"""),"Eric Campbell")</f>
        <v>Eric Campbell</v>
      </c>
      <c r="C183" s="28" t="b">
        <f>IFERROR(__xludf.DUMMYFUNCTION("""COMPUTED_VALUE"""),TRUE)</f>
        <v>1</v>
      </c>
      <c r="D183" s="51">
        <f>IFERROR(__xludf.DUMMYFUNCTION("""COMPUTED_VALUE"""),0.5347657316148597)</f>
        <v>0.5347657316</v>
      </c>
      <c r="E183" s="29">
        <f>IFERROR(__xludf.DUMMYFUNCTION("""COMPUTED_VALUE"""),3297.5)</f>
        <v>3297.5</v>
      </c>
      <c r="F183" s="29">
        <f>IFERROR(__xludf.DUMMYFUNCTION("""COMPUTED_VALUE"""),0.0)</f>
        <v>0</v>
      </c>
      <c r="G183" s="29">
        <f>IFERROR(__xludf.DUMMYFUNCTION("""COMPUTED_VALUE"""),3297.5)</f>
        <v>3297.5</v>
      </c>
      <c r="H183" s="29">
        <f>IFERROR(__xludf.DUMMYFUNCTION("""COMPUTED_VALUE"""),16.4875)</f>
        <v>16.4875</v>
      </c>
      <c r="I183" s="28"/>
      <c r="J183" s="28"/>
      <c r="K183" s="57"/>
      <c r="L183" s="57"/>
    </row>
    <row r="184">
      <c r="A184" s="28">
        <f>IFERROR(__xludf.DUMMYFUNCTION("""COMPUTED_VALUE"""),2.0255213E7)</f>
        <v>20255213</v>
      </c>
      <c r="B184" s="28" t="str">
        <f>IFERROR(__xludf.DUMMYFUNCTION("""COMPUTED_VALUE"""),"Jason May")</f>
        <v>Jason May</v>
      </c>
      <c r="C184" s="28" t="b">
        <f>IFERROR(__xludf.DUMMYFUNCTION("""COMPUTED_VALUE"""),TRUE)</f>
        <v>1</v>
      </c>
      <c r="D184" s="51">
        <f>IFERROR(__xludf.DUMMYFUNCTION("""COMPUTED_VALUE"""),0.43256628100584904)</f>
        <v>0.432566281</v>
      </c>
      <c r="E184" s="29">
        <f>IFERROR(__xludf.DUMMYFUNCTION("""COMPUTED_VALUE"""),2342.3)</f>
        <v>2342.3</v>
      </c>
      <c r="F184" s="29">
        <f>IFERROR(__xludf.DUMMYFUNCTION("""COMPUTED_VALUE"""),0.0)</f>
        <v>0</v>
      </c>
      <c r="G184" s="29">
        <f>IFERROR(__xludf.DUMMYFUNCTION("""COMPUTED_VALUE"""),2342.3)</f>
        <v>2342.3</v>
      </c>
      <c r="H184" s="29">
        <f>IFERROR(__xludf.DUMMYFUNCTION("""COMPUTED_VALUE"""),11.711500000000001)</f>
        <v>11.7115</v>
      </c>
      <c r="I184" s="28"/>
      <c r="J184" s="28"/>
      <c r="K184" s="57"/>
      <c r="L184" s="57"/>
    </row>
    <row r="185">
      <c r="A185" s="28">
        <f>IFERROR(__xludf.DUMMYFUNCTION("""COMPUTED_VALUE"""),2.0255214E7)</f>
        <v>20255214</v>
      </c>
      <c r="B185" s="28" t="str">
        <f>IFERROR(__xludf.DUMMYFUNCTION("""COMPUTED_VALUE"""),"Josh Tincher")</f>
        <v>Josh Tincher</v>
      </c>
      <c r="C185" s="28" t="b">
        <f>IFERROR(__xludf.DUMMYFUNCTION("""COMPUTED_VALUE"""),TRUE)</f>
        <v>1</v>
      </c>
      <c r="D185" s="51">
        <f>IFERROR(__xludf.DUMMYFUNCTION("""COMPUTED_VALUE"""),0.4774750452057756)</f>
        <v>0.4774750452</v>
      </c>
      <c r="E185" s="29">
        <f>IFERROR(__xludf.DUMMYFUNCTION("""COMPUTED_VALUE"""),10778.49)</f>
        <v>10778.49</v>
      </c>
      <c r="F185" s="29">
        <f>IFERROR(__xludf.DUMMYFUNCTION("""COMPUTED_VALUE"""),0.0)</f>
        <v>0</v>
      </c>
      <c r="G185" s="29">
        <f>IFERROR(__xludf.DUMMYFUNCTION("""COMPUTED_VALUE"""),10778.49)</f>
        <v>10778.49</v>
      </c>
      <c r="H185" s="29">
        <f>IFERROR(__xludf.DUMMYFUNCTION("""COMPUTED_VALUE"""),53.89245)</f>
        <v>53.89245</v>
      </c>
      <c r="I185" s="28"/>
      <c r="J185" s="28"/>
      <c r="K185" s="57"/>
      <c r="L185" s="57"/>
    </row>
    <row r="186">
      <c r="A186" s="28">
        <f>IFERROR(__xludf.DUMMYFUNCTION("""COMPUTED_VALUE"""),2.0255215E7)</f>
        <v>20255215</v>
      </c>
      <c r="B186" s="28" t="str">
        <f>IFERROR(__xludf.DUMMYFUNCTION("""COMPUTED_VALUE"""),"James King")</f>
        <v>James King</v>
      </c>
      <c r="C186" s="28" t="b">
        <f>IFERROR(__xludf.DUMMYFUNCTION("""COMPUTED_VALUE"""),TRUE)</f>
        <v>1</v>
      </c>
      <c r="D186" s="51">
        <f>IFERROR(__xludf.DUMMYFUNCTION("""COMPUTED_VALUE"""),0.4181192481988367)</f>
        <v>0.4181192482</v>
      </c>
      <c r="E186" s="29">
        <f>IFERROR(__xludf.DUMMYFUNCTION("""COMPUTED_VALUE"""),23742.61)</f>
        <v>23742.61</v>
      </c>
      <c r="F186" s="29">
        <f>IFERROR(__xludf.DUMMYFUNCTION("""COMPUTED_VALUE"""),919.2299999999996)</f>
        <v>919.23</v>
      </c>
      <c r="G186" s="29">
        <f>IFERROR(__xludf.DUMMYFUNCTION("""COMPUTED_VALUE"""),24761.84)</f>
        <v>24761.84</v>
      </c>
      <c r="H186" s="29">
        <f>IFERROR(__xludf.DUMMYFUNCTION("""COMPUTED_VALUE"""),123.3092)</f>
        <v>123.3092</v>
      </c>
      <c r="I186" s="28"/>
      <c r="J186" s="28"/>
      <c r="K186" s="57"/>
      <c r="L186" s="57"/>
    </row>
    <row r="187">
      <c r="A187" s="28">
        <f>IFERROR(__xludf.DUMMYFUNCTION("""COMPUTED_VALUE"""),2.0255216E7)</f>
        <v>20255216</v>
      </c>
      <c r="B187" s="28" t="str">
        <f>IFERROR(__xludf.DUMMYFUNCTION("""COMPUTED_VALUE"""),"Angie Zielinski")</f>
        <v>Angie Zielinski</v>
      </c>
      <c r="C187" s="28" t="b">
        <f>IFERROR(__xludf.DUMMYFUNCTION("""COMPUTED_VALUE"""),TRUE)</f>
        <v>1</v>
      </c>
      <c r="D187" s="51">
        <f>IFERROR(__xludf.DUMMYFUNCTION("""COMPUTED_VALUE"""),0.3491277772210937)</f>
        <v>0.3491277772</v>
      </c>
      <c r="E187" s="29">
        <f>IFERROR(__xludf.DUMMYFUNCTION("""COMPUTED_VALUE"""),10977.7)</f>
        <v>10977.7</v>
      </c>
      <c r="F187" s="29">
        <f>IFERROR(__xludf.DUMMYFUNCTION("""COMPUTED_VALUE"""),0.0)</f>
        <v>0</v>
      </c>
      <c r="G187" s="29">
        <f>IFERROR(__xludf.DUMMYFUNCTION("""COMPUTED_VALUE"""),10977.7)</f>
        <v>10977.7</v>
      </c>
      <c r="H187" s="29">
        <f>IFERROR(__xludf.DUMMYFUNCTION("""COMPUTED_VALUE"""),54.88850000000001)</f>
        <v>54.8885</v>
      </c>
      <c r="I187" s="28"/>
      <c r="J187" s="28"/>
      <c r="K187" s="57"/>
      <c r="L187" s="57"/>
    </row>
    <row r="188">
      <c r="A188" s="28">
        <f>IFERROR(__xludf.DUMMYFUNCTION("""COMPUTED_VALUE"""),2.0255217E7)</f>
        <v>20255217</v>
      </c>
      <c r="B188" s="28" t="str">
        <f>IFERROR(__xludf.DUMMYFUNCTION("""COMPUTED_VALUE"""),"Joseph  Abke")</f>
        <v>Joseph  Abke</v>
      </c>
      <c r="C188" s="28" t="b">
        <f>IFERROR(__xludf.DUMMYFUNCTION("""COMPUTED_VALUE"""),TRUE)</f>
        <v>1</v>
      </c>
      <c r="D188" s="51">
        <f>IFERROR(__xludf.DUMMYFUNCTION("""COMPUTED_VALUE"""),0.5107012716591061)</f>
        <v>0.5107012717</v>
      </c>
      <c r="E188" s="29">
        <f>IFERROR(__xludf.DUMMYFUNCTION("""COMPUTED_VALUE"""),3518.79)</f>
        <v>3518.79</v>
      </c>
      <c r="F188" s="29">
        <f>IFERROR(__xludf.DUMMYFUNCTION("""COMPUTED_VALUE"""),515.31)</f>
        <v>515.31</v>
      </c>
      <c r="G188" s="29">
        <f>IFERROR(__xludf.DUMMYFUNCTION("""COMPUTED_VALUE"""),4034.1)</f>
        <v>4034.1</v>
      </c>
      <c r="H188" s="29">
        <f>IFERROR(__xludf.DUMMYFUNCTION("""COMPUTED_VALUE"""),20.1705)</f>
        <v>20.1705</v>
      </c>
      <c r="I188" s="28"/>
      <c r="J188" s="28"/>
      <c r="K188" s="57"/>
      <c r="L188" s="57"/>
    </row>
    <row r="189">
      <c r="A189" s="28">
        <f>IFERROR(__xludf.DUMMYFUNCTION("""COMPUTED_VALUE"""),2.0255218E7)</f>
        <v>20255218</v>
      </c>
      <c r="B189" s="28" t="str">
        <f>IFERROR(__xludf.DUMMYFUNCTION("""COMPUTED_VALUE"""),"Todd Gaerke")</f>
        <v>Todd Gaerke</v>
      </c>
      <c r="C189" s="28" t="b">
        <f>IFERROR(__xludf.DUMMYFUNCTION("""COMPUTED_VALUE"""),TRUE)</f>
        <v>1</v>
      </c>
      <c r="D189" s="51">
        <f>IFERROR(__xludf.DUMMYFUNCTION("""COMPUTED_VALUE"""),0.4438999520153551)</f>
        <v>0.443899952</v>
      </c>
      <c r="E189" s="29">
        <f>IFERROR(__xludf.DUMMYFUNCTION("""COMPUTED_VALUE"""),1467.58)</f>
        <v>1467.58</v>
      </c>
      <c r="F189" s="29">
        <f>IFERROR(__xludf.DUMMYFUNCTION("""COMPUTED_VALUE"""),199.62000000000012)</f>
        <v>199.62</v>
      </c>
      <c r="G189" s="29">
        <f>IFERROR(__xludf.DUMMYFUNCTION("""COMPUTED_VALUE"""),1667.2)</f>
        <v>1667.2</v>
      </c>
      <c r="H189" s="29">
        <f>IFERROR(__xludf.DUMMYFUNCTION("""COMPUTED_VALUE"""),8.336)</f>
        <v>8.336</v>
      </c>
      <c r="I189" s="28"/>
      <c r="J189" s="28"/>
      <c r="K189" s="57"/>
      <c r="L189" s="57"/>
    </row>
    <row r="190">
      <c r="A190" s="28">
        <f>IFERROR(__xludf.DUMMYFUNCTION("""COMPUTED_VALUE"""),2.0255219E7)</f>
        <v>20255219</v>
      </c>
      <c r="B190" s="28" t="str">
        <f>IFERROR(__xludf.DUMMYFUNCTION("""COMPUTED_VALUE"""),"Cindy Moebius")</f>
        <v>Cindy Moebius</v>
      </c>
      <c r="C190" s="28" t="b">
        <f>IFERROR(__xludf.DUMMYFUNCTION("""COMPUTED_VALUE"""),TRUE)</f>
        <v>1</v>
      </c>
      <c r="D190" s="51">
        <f>IFERROR(__xludf.DUMMYFUNCTION("""COMPUTED_VALUE"""),0.5131178194658248)</f>
        <v>0.5131178195</v>
      </c>
      <c r="E190" s="29">
        <f>IFERROR(__xludf.DUMMYFUNCTION("""COMPUTED_VALUE"""),5749.05)</f>
        <v>5749.05</v>
      </c>
      <c r="F190" s="29">
        <f>IFERROR(__xludf.DUMMYFUNCTION("""COMPUTED_VALUE"""),0.0)</f>
        <v>0</v>
      </c>
      <c r="G190" s="29">
        <f>IFERROR(__xludf.DUMMYFUNCTION("""COMPUTED_VALUE"""),5749.05)</f>
        <v>5749.05</v>
      </c>
      <c r="H190" s="29">
        <f>IFERROR(__xludf.DUMMYFUNCTION("""COMPUTED_VALUE"""),28.745250000000002)</f>
        <v>28.74525</v>
      </c>
      <c r="I190" s="28"/>
      <c r="J190" s="28"/>
      <c r="K190" s="57"/>
      <c r="L190" s="57"/>
    </row>
    <row r="191">
      <c r="A191" s="28">
        <f>IFERROR(__xludf.DUMMYFUNCTION("""COMPUTED_VALUE"""),2.025522E7)</f>
        <v>20255220</v>
      </c>
      <c r="B191" s="28" t="str">
        <f>IFERROR(__xludf.DUMMYFUNCTION("""COMPUTED_VALUE"""),"Dan Moorhead")</f>
        <v>Dan Moorhead</v>
      </c>
      <c r="C191" s="28" t="b">
        <f>IFERROR(__xludf.DUMMYFUNCTION("""COMPUTED_VALUE"""),TRUE)</f>
        <v>1</v>
      </c>
      <c r="D191" s="51">
        <f>IFERROR(__xludf.DUMMYFUNCTION("""COMPUTED_VALUE"""),0.6370532352167245)</f>
        <v>0.6370532352</v>
      </c>
      <c r="E191" s="29">
        <f>IFERROR(__xludf.DUMMYFUNCTION("""COMPUTED_VALUE"""),1102.09)</f>
        <v>1102.09</v>
      </c>
      <c r="F191" s="29">
        <f>IFERROR(__xludf.DUMMYFUNCTION("""COMPUTED_VALUE"""),0.0)</f>
        <v>0</v>
      </c>
      <c r="G191" s="29">
        <f>IFERROR(__xludf.DUMMYFUNCTION("""COMPUTED_VALUE"""),1102.09)</f>
        <v>1102.09</v>
      </c>
      <c r="H191" s="29">
        <f>IFERROR(__xludf.DUMMYFUNCTION("""COMPUTED_VALUE"""),5.51045)</f>
        <v>5.51045</v>
      </c>
      <c r="I191" s="28"/>
      <c r="J191" s="28"/>
      <c r="K191" s="57"/>
      <c r="L191" s="57"/>
    </row>
    <row r="192">
      <c r="A192" s="28">
        <f>IFERROR(__xludf.DUMMYFUNCTION("""COMPUTED_VALUE"""),2.0255221E7)</f>
        <v>20255221</v>
      </c>
      <c r="B192" s="28" t="str">
        <f>IFERROR(__xludf.DUMMYFUNCTION("""COMPUTED_VALUE"""),"Ashley Ferguson")</f>
        <v>Ashley Ferguson</v>
      </c>
      <c r="C192" s="51" t="b">
        <f>IFERROR(__xludf.DUMMYFUNCTION("""COMPUTED_VALUE"""),FALSE)</f>
        <v>0</v>
      </c>
      <c r="D192" s="51" t="str">
        <f>IFERROR(__xludf.DUMMYFUNCTION("""COMPUTED_VALUE"""),"")</f>
        <v/>
      </c>
      <c r="E192" s="29">
        <f>IFERROR(__xludf.DUMMYFUNCTION("""COMPUTED_VALUE"""),3300.0)</f>
        <v>3300</v>
      </c>
      <c r="F192" s="29">
        <f>IFERROR(__xludf.DUMMYFUNCTION("""COMPUTED_VALUE"""),0.0)</f>
        <v>0</v>
      </c>
      <c r="G192" s="29">
        <f>IFERROR(__xludf.DUMMYFUNCTION("""COMPUTED_VALUE"""),0.0)</f>
        <v>0</v>
      </c>
      <c r="H192" s="29">
        <f>IFERROR(__xludf.DUMMYFUNCTION("""COMPUTED_VALUE"""),16.5)</f>
        <v>16.5</v>
      </c>
      <c r="I192" s="28"/>
      <c r="J192" s="28"/>
      <c r="K192" s="57"/>
      <c r="L192" s="57"/>
    </row>
    <row r="193">
      <c r="A193" s="28">
        <f>IFERROR(__xludf.DUMMYFUNCTION("""COMPUTED_VALUE"""),2.0255222E7)</f>
        <v>20255222</v>
      </c>
      <c r="B193" s="28" t="str">
        <f>IFERROR(__xludf.DUMMYFUNCTION("""COMPUTED_VALUE"""),"INS - Eric &amp; Betty Mitchell")</f>
        <v>INS - Eric &amp; Betty Mitchell</v>
      </c>
      <c r="C193" s="28" t="b">
        <f>IFERROR(__xludf.DUMMYFUNCTION("""COMPUTED_VALUE"""),TRUE)</f>
        <v>1</v>
      </c>
      <c r="D193" s="51" t="str">
        <f>IFERROR(__xludf.DUMMYFUNCTION("""COMPUTED_VALUE"""),"")</f>
        <v/>
      </c>
      <c r="E193" s="29">
        <f>IFERROR(__xludf.DUMMYFUNCTION("""COMPUTED_VALUE"""),0.0)</f>
        <v>0</v>
      </c>
      <c r="F193" s="29">
        <f>IFERROR(__xludf.DUMMYFUNCTION("""COMPUTED_VALUE"""),0.0)</f>
        <v>0</v>
      </c>
      <c r="G193" s="29">
        <f>IFERROR(__xludf.DUMMYFUNCTION("""COMPUTED_VALUE"""),0.0)</f>
        <v>0</v>
      </c>
      <c r="H193" s="29">
        <f>IFERROR(__xludf.DUMMYFUNCTION("""COMPUTED_VALUE"""),0.0)</f>
        <v>0</v>
      </c>
      <c r="I193" s="28"/>
      <c r="J193" s="28"/>
      <c r="K193" s="57"/>
      <c r="L193" s="57"/>
    </row>
    <row r="194">
      <c r="A194" s="28">
        <f>IFERROR(__xludf.DUMMYFUNCTION("""COMPUTED_VALUE"""),2.0255223E7)</f>
        <v>20255223</v>
      </c>
      <c r="B194" s="28" t="str">
        <f>IFERROR(__xludf.DUMMYFUNCTION("""COMPUTED_VALUE"""),"Brian Resides")</f>
        <v>Brian Resides</v>
      </c>
      <c r="C194" s="51" t="b">
        <f>IFERROR(__xludf.DUMMYFUNCTION("""COMPUTED_VALUE"""),FALSE)</f>
        <v>0</v>
      </c>
      <c r="D194" s="51" t="str">
        <f>IFERROR(__xludf.DUMMYFUNCTION("""COMPUTED_VALUE"""),"")</f>
        <v/>
      </c>
      <c r="E194" s="29">
        <f>IFERROR(__xludf.DUMMYFUNCTION("""COMPUTED_VALUE"""),7534.47)</f>
        <v>7534.47</v>
      </c>
      <c r="F194" s="29">
        <f>IFERROR(__xludf.DUMMYFUNCTION("""COMPUTED_VALUE"""),0.0)</f>
        <v>0</v>
      </c>
      <c r="G194" s="29">
        <f>IFERROR(__xludf.DUMMYFUNCTION("""COMPUTED_VALUE"""),0.0)</f>
        <v>0</v>
      </c>
      <c r="H194" s="29">
        <f>IFERROR(__xludf.DUMMYFUNCTION("""COMPUTED_VALUE"""),37.67235)</f>
        <v>37.67235</v>
      </c>
      <c r="I194" s="28"/>
      <c r="J194" s="28"/>
      <c r="K194" s="57"/>
      <c r="L194" s="57"/>
    </row>
    <row r="195">
      <c r="A195" s="28">
        <f>IFERROR(__xludf.DUMMYFUNCTION("""COMPUTED_VALUE"""),2.0255224E7)</f>
        <v>20255224</v>
      </c>
      <c r="B195" s="28" t="str">
        <f>IFERROR(__xludf.DUMMYFUNCTION("""COMPUTED_VALUE"""),"Joe Franke")</f>
        <v>Joe Franke</v>
      </c>
      <c r="C195" s="51" t="b">
        <f>IFERROR(__xludf.DUMMYFUNCTION("""COMPUTED_VALUE"""),FALSE)</f>
        <v>0</v>
      </c>
      <c r="D195" s="51" t="str">
        <f>IFERROR(__xludf.DUMMYFUNCTION("""COMPUTED_VALUE"""),"")</f>
        <v/>
      </c>
      <c r="E195" s="29">
        <f>IFERROR(__xludf.DUMMYFUNCTION("""COMPUTED_VALUE"""),0.0)</f>
        <v>0</v>
      </c>
      <c r="F195" s="29">
        <f>IFERROR(__xludf.DUMMYFUNCTION("""COMPUTED_VALUE"""),0.0)</f>
        <v>0</v>
      </c>
      <c r="G195" s="29">
        <f>IFERROR(__xludf.DUMMYFUNCTION("""COMPUTED_VALUE"""),0.0)</f>
        <v>0</v>
      </c>
      <c r="H195" s="29">
        <f>IFERROR(__xludf.DUMMYFUNCTION("""COMPUTED_VALUE"""),0.0)</f>
        <v>0</v>
      </c>
      <c r="I195" s="28"/>
      <c r="J195" s="28"/>
      <c r="K195" s="57"/>
      <c r="L195" s="57"/>
    </row>
    <row r="196">
      <c r="A196" s="28">
        <f>IFERROR(__xludf.DUMMYFUNCTION("""COMPUTED_VALUE"""),2.0255225E7)</f>
        <v>20255225</v>
      </c>
      <c r="B196" s="28" t="str">
        <f>IFERROR(__xludf.DUMMYFUNCTION("""COMPUTED_VALUE"""),"Russell Evans")</f>
        <v>Russell Evans</v>
      </c>
      <c r="C196" s="28" t="b">
        <f>IFERROR(__xludf.DUMMYFUNCTION("""COMPUTED_VALUE"""),TRUE)</f>
        <v>1</v>
      </c>
      <c r="D196" s="51">
        <f>IFERROR(__xludf.DUMMYFUNCTION("""COMPUTED_VALUE"""),0.4295030329621205)</f>
        <v>0.429503033</v>
      </c>
      <c r="E196" s="29">
        <f>IFERROR(__xludf.DUMMYFUNCTION("""COMPUTED_VALUE"""),9159.35)</f>
        <v>9159.35</v>
      </c>
      <c r="F196" s="29">
        <f>IFERROR(__xludf.DUMMYFUNCTION("""COMPUTED_VALUE"""),504.46999999999935)</f>
        <v>504.47</v>
      </c>
      <c r="G196" s="29">
        <f>IFERROR(__xludf.DUMMYFUNCTION("""COMPUTED_VALUE"""),9663.82)</f>
        <v>9663.82</v>
      </c>
      <c r="H196" s="29">
        <f>IFERROR(__xludf.DUMMYFUNCTION("""COMPUTED_VALUE"""),48.3191)</f>
        <v>48.3191</v>
      </c>
      <c r="I196" s="28"/>
      <c r="J196" s="28"/>
      <c r="K196" s="57"/>
      <c r="L196" s="57"/>
    </row>
    <row r="197">
      <c r="A197" s="28">
        <f>IFERROR(__xludf.DUMMYFUNCTION("""COMPUTED_VALUE"""),2.0255226E7)</f>
        <v>20255226</v>
      </c>
      <c r="B197" s="28" t="str">
        <f>IFERROR(__xludf.DUMMYFUNCTION("""COMPUTED_VALUE"""),"Mark Grimes")</f>
        <v>Mark Grimes</v>
      </c>
      <c r="C197" s="51" t="b">
        <f>IFERROR(__xludf.DUMMYFUNCTION("""COMPUTED_VALUE"""),FALSE)</f>
        <v>0</v>
      </c>
      <c r="D197" s="51" t="str">
        <f>IFERROR(__xludf.DUMMYFUNCTION("""COMPUTED_VALUE"""),"")</f>
        <v/>
      </c>
      <c r="E197" s="29">
        <f>IFERROR(__xludf.DUMMYFUNCTION("""COMPUTED_VALUE"""),25990.35)</f>
        <v>25990.35</v>
      </c>
      <c r="F197" s="29">
        <f>IFERROR(__xludf.DUMMYFUNCTION("""COMPUTED_VALUE"""),0.0)</f>
        <v>0</v>
      </c>
      <c r="G197" s="29">
        <f>IFERROR(__xludf.DUMMYFUNCTION("""COMPUTED_VALUE"""),0.0)</f>
        <v>0</v>
      </c>
      <c r="H197" s="29">
        <f>IFERROR(__xludf.DUMMYFUNCTION("""COMPUTED_VALUE"""),129.95175)</f>
        <v>129.95175</v>
      </c>
      <c r="I197" s="28"/>
      <c r="J197" s="28"/>
      <c r="K197" s="57"/>
      <c r="L197" s="57"/>
    </row>
    <row r="198">
      <c r="A198" s="28">
        <f>IFERROR(__xludf.DUMMYFUNCTION("""COMPUTED_VALUE"""),2.0255227E7)</f>
        <v>20255227</v>
      </c>
      <c r="B198" s="28" t="str">
        <f>IFERROR(__xludf.DUMMYFUNCTION("""COMPUTED_VALUE"""),"Dustin Myers")</f>
        <v>Dustin Myers</v>
      </c>
      <c r="C198" s="28" t="b">
        <f>IFERROR(__xludf.DUMMYFUNCTION("""COMPUTED_VALUE"""),TRUE)</f>
        <v>1</v>
      </c>
      <c r="D198" s="51">
        <f>IFERROR(__xludf.DUMMYFUNCTION("""COMPUTED_VALUE"""),0.4501135371179039)</f>
        <v>0.4501135371</v>
      </c>
      <c r="E198" s="29">
        <f>IFERROR(__xludf.DUMMYFUNCTION("""COMPUTED_VALUE"""),1144.76)</f>
        <v>1144.76</v>
      </c>
      <c r="F198" s="29">
        <f>IFERROR(__xludf.DUMMYFUNCTION("""COMPUTED_VALUE"""),0.2400000000000091)</f>
        <v>0.24</v>
      </c>
      <c r="G198" s="29">
        <f>IFERROR(__xludf.DUMMYFUNCTION("""COMPUTED_VALUE"""),1144.76)</f>
        <v>1144.76</v>
      </c>
      <c r="H198" s="29">
        <f>IFERROR(__xludf.DUMMYFUNCTION("""COMPUTED_VALUE"""),5.7250000000000005)</f>
        <v>5.725</v>
      </c>
      <c r="I198" s="28"/>
      <c r="J198" s="28"/>
      <c r="K198" s="57"/>
      <c r="L198" s="57"/>
    </row>
    <row r="199">
      <c r="A199" s="28">
        <f>IFERROR(__xludf.DUMMYFUNCTION("""COMPUTED_VALUE"""),2.0255228E7)</f>
        <v>20255228</v>
      </c>
      <c r="B199" s="28" t="str">
        <f>IFERROR(__xludf.DUMMYFUNCTION("""COMPUTED_VALUE"""),"JohnRoss")</f>
        <v>JohnRoss</v>
      </c>
      <c r="C199" s="28" t="b">
        <f>IFERROR(__xludf.DUMMYFUNCTION("""COMPUTED_VALUE"""),TRUE)</f>
        <v>1</v>
      </c>
      <c r="D199" s="51">
        <f>IFERROR(__xludf.DUMMYFUNCTION("""COMPUTED_VALUE"""),1.0)</f>
        <v>1</v>
      </c>
      <c r="E199" s="29">
        <f>IFERROR(__xludf.DUMMYFUNCTION("""COMPUTED_VALUE"""),310.0)</f>
        <v>310</v>
      </c>
      <c r="F199" s="29">
        <f>IFERROR(__xludf.DUMMYFUNCTION("""COMPUTED_VALUE"""),0.0)</f>
        <v>0</v>
      </c>
      <c r="G199" s="29">
        <f>IFERROR(__xludf.DUMMYFUNCTION("""COMPUTED_VALUE"""),310.0)</f>
        <v>310</v>
      </c>
      <c r="H199" s="29">
        <f>IFERROR(__xludf.DUMMYFUNCTION("""COMPUTED_VALUE"""),1.55)</f>
        <v>1.55</v>
      </c>
      <c r="I199" s="28"/>
      <c r="J199" s="28"/>
      <c r="K199" s="57"/>
      <c r="L199" s="57"/>
    </row>
    <row r="200">
      <c r="A200" s="28">
        <f>IFERROR(__xludf.DUMMYFUNCTION("""COMPUTED_VALUE"""),2.0255229E7)</f>
        <v>20255229</v>
      </c>
      <c r="B200" s="28" t="str">
        <f>IFERROR(__xludf.DUMMYFUNCTION("""COMPUTED_VALUE"""),"Mary Mastronicola")</f>
        <v>Mary Mastronicola</v>
      </c>
      <c r="C200" s="28" t="b">
        <f>IFERROR(__xludf.DUMMYFUNCTION("""COMPUTED_VALUE"""),TRUE)</f>
        <v>1</v>
      </c>
      <c r="D200" s="51">
        <f>IFERROR(__xludf.DUMMYFUNCTION("""COMPUTED_VALUE"""),0.9999583333333334)</f>
        <v>0.9999583333</v>
      </c>
      <c r="E200" s="29">
        <f>IFERROR(__xludf.DUMMYFUNCTION("""COMPUTED_VALUE"""),240.0)</f>
        <v>240</v>
      </c>
      <c r="F200" s="29">
        <f>IFERROR(__xludf.DUMMYFUNCTION("""COMPUTED_VALUE"""),0.0)</f>
        <v>0</v>
      </c>
      <c r="G200" s="29">
        <f>IFERROR(__xludf.DUMMYFUNCTION("""COMPUTED_VALUE"""),240.0)</f>
        <v>240</v>
      </c>
      <c r="H200" s="29">
        <f>IFERROR(__xludf.DUMMYFUNCTION("""COMPUTED_VALUE"""),1.2)</f>
        <v>1.2</v>
      </c>
      <c r="I200" s="28"/>
      <c r="J200" s="28"/>
      <c r="K200" s="57"/>
      <c r="L200" s="57"/>
    </row>
    <row r="201">
      <c r="A201" s="28">
        <f>IFERROR(__xludf.DUMMYFUNCTION("""COMPUTED_VALUE"""),2.025523E7)</f>
        <v>20255230</v>
      </c>
      <c r="B201" s="28" t="str">
        <f>IFERROR(__xludf.DUMMYFUNCTION("""COMPUTED_VALUE"""),"Dan Arnold")</f>
        <v>Dan Arnold</v>
      </c>
      <c r="C201" s="28" t="b">
        <f>IFERROR(__xludf.DUMMYFUNCTION("""COMPUTED_VALUE"""),TRUE)</f>
        <v>1</v>
      </c>
      <c r="D201" s="51">
        <f>IFERROR(__xludf.DUMMYFUNCTION("""COMPUTED_VALUE"""),0.4941932004804275)</f>
        <v>0.4941932005</v>
      </c>
      <c r="E201" s="29">
        <f>IFERROR(__xludf.DUMMYFUNCTION("""COMPUTED_VALUE"""),1984.85)</f>
        <v>1984.85</v>
      </c>
      <c r="F201" s="29">
        <f>IFERROR(__xludf.DUMMYFUNCTION("""COMPUTED_VALUE"""),55.0)</f>
        <v>55</v>
      </c>
      <c r="G201" s="29">
        <f>IFERROR(__xludf.DUMMYFUNCTION("""COMPUTED_VALUE"""),2039.85)</f>
        <v>2039.85</v>
      </c>
      <c r="H201" s="29">
        <f>IFERROR(__xludf.DUMMYFUNCTION("""COMPUTED_VALUE"""),10.19925)</f>
        <v>10.19925</v>
      </c>
      <c r="I201" s="28"/>
      <c r="J201" s="28"/>
      <c r="K201" s="57"/>
      <c r="L201" s="57"/>
    </row>
    <row r="202">
      <c r="A202" s="28">
        <f>IFERROR(__xludf.DUMMYFUNCTION("""COMPUTED_VALUE"""),2.0255231E7)</f>
        <v>20255231</v>
      </c>
      <c r="B202" s="28" t="str">
        <f>IFERROR(__xludf.DUMMYFUNCTION("""COMPUTED_VALUE"""),"Chris Long")</f>
        <v>Chris Long</v>
      </c>
      <c r="C202" s="28" t="b">
        <f>IFERROR(__xludf.DUMMYFUNCTION("""COMPUTED_VALUE"""),TRUE)</f>
        <v>1</v>
      </c>
      <c r="D202" s="51">
        <f>IFERROR(__xludf.DUMMYFUNCTION("""COMPUTED_VALUE"""),0.38463582945832964)</f>
        <v>0.3846358295</v>
      </c>
      <c r="E202" s="29">
        <f>IFERROR(__xludf.DUMMYFUNCTION("""COMPUTED_VALUE"""),16542.52)</f>
        <v>16542.52</v>
      </c>
      <c r="F202" s="29">
        <f>IFERROR(__xludf.DUMMYFUNCTION("""COMPUTED_VALUE"""),162.84000000000015)</f>
        <v>162.84</v>
      </c>
      <c r="G202" s="29">
        <f>IFERROR(__xludf.DUMMYFUNCTION("""COMPUTED_VALUE"""),16705.36)</f>
        <v>16705.36</v>
      </c>
      <c r="H202" s="29">
        <f>IFERROR(__xludf.DUMMYFUNCTION("""COMPUTED_VALUE"""),83.52680000000001)</f>
        <v>83.5268</v>
      </c>
      <c r="I202" s="28"/>
      <c r="J202" s="28"/>
      <c r="K202" s="57"/>
      <c r="L202" s="57"/>
    </row>
    <row r="203">
      <c r="A203" s="28">
        <f>IFERROR(__xludf.DUMMYFUNCTION("""COMPUTED_VALUE"""),2.0255232E7)</f>
        <v>20255232</v>
      </c>
      <c r="B203" s="28" t="str">
        <f>IFERROR(__xludf.DUMMYFUNCTION("""COMPUTED_VALUE"""),"Derek Fink")</f>
        <v>Derek Fink</v>
      </c>
      <c r="C203" s="28" t="b">
        <f>IFERROR(__xludf.DUMMYFUNCTION("""COMPUTED_VALUE"""),TRUE)</f>
        <v>1</v>
      </c>
      <c r="D203" s="51">
        <f>IFERROR(__xludf.DUMMYFUNCTION("""COMPUTED_VALUE"""),0.29154957560565287)</f>
        <v>0.2915495756</v>
      </c>
      <c r="E203" s="29">
        <f>IFERROR(__xludf.DUMMYFUNCTION("""COMPUTED_VALUE"""),22652.96)</f>
        <v>22652.96</v>
      </c>
      <c r="F203" s="29">
        <f>IFERROR(__xludf.DUMMYFUNCTION("""COMPUTED_VALUE"""),-2419.4199999999983)</f>
        <v>-2419.42</v>
      </c>
      <c r="G203" s="29">
        <f>IFERROR(__xludf.DUMMYFUNCTION("""COMPUTED_VALUE"""),20233.54)</f>
        <v>20233.54</v>
      </c>
      <c r="H203" s="29">
        <f>IFERROR(__xludf.DUMMYFUNCTION("""COMPUTED_VALUE"""),101.16770000000001)</f>
        <v>101.1677</v>
      </c>
      <c r="I203" s="28"/>
      <c r="J203" s="28"/>
      <c r="K203" s="57"/>
      <c r="L203" s="57"/>
    </row>
    <row r="204">
      <c r="A204" s="28">
        <f>IFERROR(__xludf.DUMMYFUNCTION("""COMPUTED_VALUE"""),2.0255233E7)</f>
        <v>20255233</v>
      </c>
      <c r="B204" s="28" t="str">
        <f>IFERROR(__xludf.DUMMYFUNCTION("""COMPUTED_VALUE"""),"Tara Zimmer")</f>
        <v>Tara Zimmer</v>
      </c>
      <c r="C204" s="28" t="b">
        <f>IFERROR(__xludf.DUMMYFUNCTION("""COMPUTED_VALUE"""),TRUE)</f>
        <v>1</v>
      </c>
      <c r="D204" s="51">
        <f>IFERROR(__xludf.DUMMYFUNCTION("""COMPUTED_VALUE"""),0.2221921726267307)</f>
        <v>0.2221921726</v>
      </c>
      <c r="E204" s="29">
        <f>IFERROR(__xludf.DUMMYFUNCTION("""COMPUTED_VALUE"""),9761.64)</f>
        <v>9761.64</v>
      </c>
      <c r="F204" s="29">
        <f>IFERROR(__xludf.DUMMYFUNCTION("""COMPUTED_VALUE"""),0.0)</f>
        <v>0</v>
      </c>
      <c r="G204" s="29">
        <f>IFERROR(__xludf.DUMMYFUNCTION("""COMPUTED_VALUE"""),9761.64)</f>
        <v>9761.64</v>
      </c>
      <c r="H204" s="29">
        <f>IFERROR(__xludf.DUMMYFUNCTION("""COMPUTED_VALUE"""),48.8082)</f>
        <v>48.8082</v>
      </c>
      <c r="I204" s="28"/>
      <c r="J204" s="28"/>
      <c r="K204" s="57"/>
      <c r="L204" s="57"/>
    </row>
    <row r="205">
      <c r="A205" s="28" t="str">
        <f>IFERROR(__xludf.DUMMYFUNCTION("""COMPUTED_VALUE"""),"Grand Total")</f>
        <v>Grand Total</v>
      </c>
      <c r="B205" s="28"/>
      <c r="C205" s="28"/>
      <c r="D205" s="28"/>
      <c r="E205" s="29">
        <f>IFERROR(__xludf.DUMMYFUNCTION("""COMPUTED_VALUE"""),3402746.2700000014)</f>
        <v>3402746.27</v>
      </c>
      <c r="F205" s="29">
        <f>IFERROR(__xludf.DUMMYFUNCTION("""COMPUTED_VALUE"""),234056.91000000032)</f>
        <v>234056.91</v>
      </c>
      <c r="G205" s="29">
        <f>IFERROR(__xludf.DUMMYFUNCTION("""COMPUTED_VALUE"""),3036987.7099999995)</f>
        <v>3036987.71</v>
      </c>
      <c r="H205" s="29">
        <f>IFERROR(__xludf.DUMMYFUNCTION("""COMPUTED_VALUE"""),18184.01590000001)</f>
        <v>18184.0159</v>
      </c>
      <c r="I205" s="28"/>
      <c r="J205" s="28"/>
      <c r="K205" s="57"/>
      <c r="L205" s="57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57"/>
      <c r="L206" s="57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57"/>
      <c r="L207" s="57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57"/>
      <c r="L208" s="57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57"/>
      <c r="L209" s="57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57"/>
      <c r="L210" s="57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57"/>
      <c r="L211" s="57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57"/>
      <c r="L212" s="57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57"/>
      <c r="L213" s="57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57"/>
      <c r="L214" s="57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57"/>
      <c r="L215" s="57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57"/>
      <c r="L216" s="57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57"/>
      <c r="L217" s="57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57"/>
      <c r="L218" s="57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57"/>
      <c r="L219" s="57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57"/>
      <c r="L220" s="57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57"/>
      <c r="L221" s="57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57"/>
      <c r="L222" s="57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57"/>
      <c r="L223" s="57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57"/>
      <c r="L224" s="57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57"/>
      <c r="L225" s="57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57"/>
      <c r="L226" s="57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57"/>
      <c r="L227" s="57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57"/>
      <c r="L228" s="57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57"/>
      <c r="L229" s="57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57"/>
      <c r="L230" s="57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57"/>
      <c r="L231" s="57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57"/>
      <c r="L232" s="57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57"/>
      <c r="L233" s="57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57"/>
      <c r="L234" s="57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57"/>
      <c r="L235" s="57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57"/>
      <c r="L236" s="57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57"/>
      <c r="L237" s="57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57"/>
      <c r="L238" s="57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57"/>
      <c r="L239" s="57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57"/>
      <c r="L240" s="57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57"/>
      <c r="L241" s="57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57"/>
      <c r="L242" s="57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57"/>
      <c r="L243" s="57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57"/>
      <c r="L244" s="57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57"/>
      <c r="L245" s="57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57"/>
      <c r="L246" s="57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57"/>
      <c r="L247" s="57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57"/>
      <c r="L248" s="57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57"/>
      <c r="L249" s="57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57"/>
      <c r="L250" s="57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57"/>
      <c r="L251" s="57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57"/>
      <c r="L252" s="57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57"/>
      <c r="L253" s="57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57"/>
      <c r="L254" s="57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57"/>
      <c r="L255" s="57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57"/>
      <c r="L256" s="57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57"/>
      <c r="L257" s="57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57"/>
      <c r="L258" s="57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57"/>
      <c r="L259" s="57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57"/>
      <c r="L260" s="57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57"/>
      <c r="L261" s="57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57"/>
      <c r="L262" s="57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57"/>
      <c r="L263" s="57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57"/>
      <c r="L264" s="57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57"/>
      <c r="L265" s="57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57"/>
      <c r="L266" s="57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57"/>
      <c r="L267" s="57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57"/>
      <c r="L268" s="57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57"/>
      <c r="L269" s="57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57"/>
      <c r="L270" s="57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57"/>
      <c r="L271" s="57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57"/>
      <c r="L272" s="57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57"/>
      <c r="L273" s="57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57"/>
      <c r="L274" s="57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57"/>
      <c r="L275" s="57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57"/>
      <c r="L276" s="57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57"/>
      <c r="L277" s="57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57"/>
      <c r="L278" s="57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57"/>
      <c r="L279" s="57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57"/>
      <c r="L280" s="57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57"/>
      <c r="L281" s="57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57"/>
      <c r="L282" s="57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57"/>
      <c r="L283" s="57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57"/>
      <c r="L284" s="57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57"/>
      <c r="L285" s="57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57"/>
      <c r="L286" s="57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57"/>
      <c r="L287" s="57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57"/>
      <c r="L288" s="57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57"/>
      <c r="L289" s="57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57"/>
      <c r="L290" s="57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57"/>
      <c r="L291" s="57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57"/>
      <c r="L292" s="57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57"/>
      <c r="L293" s="57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57"/>
      <c r="L294" s="57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57"/>
      <c r="L295" s="57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57"/>
      <c r="L296" s="57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57"/>
      <c r="L297" s="57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57"/>
      <c r="L298" s="57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57"/>
      <c r="L299" s="57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57"/>
      <c r="L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0"/>
    <col customWidth="1" min="9" max="9" width="14.0"/>
    <col customWidth="1" min="10" max="10" width="15.0"/>
    <col customWidth="1" min="11" max="12" width="16.25"/>
    <col customWidth="1" min="13" max="13" width="51.88"/>
  </cols>
  <sheetData>
    <row r="1">
      <c r="A1" s="65" t="str">
        <f>IFERROR(__xludf.DUMMYFUNCTION("IMPORTRANGE(""https://docs.google.com/spreadsheets/d/1eO365hmI2Nm9_YssKGka92teOkoRD0uzSnM0r31D7ek/edit?pli=1#gid=606377111"",""2025 Brett!A:k"")"),"Job #")</f>
        <v>Job #</v>
      </c>
      <c r="B1" s="65" t="str">
        <f>IFERROR(__xludf.DUMMYFUNCTION("""COMPUTED_VALUE"""),"Name")</f>
        <v>Name</v>
      </c>
      <c r="C1" s="65" t="str">
        <f>IFERROR(__xludf.DUMMYFUNCTION("""COMPUTED_VALUE"""),"Paid in Full")</f>
        <v>Paid in Full</v>
      </c>
      <c r="D1" s="65" t="str">
        <f>IFERROR(__xludf.DUMMYFUNCTION("""COMPUTED_VALUE"""),"GP %")</f>
        <v>GP %</v>
      </c>
      <c r="E1" s="65" t="str">
        <f>IFERROR(__xludf.DUMMYFUNCTION("""COMPUTED_VALUE"""),"Contract")</f>
        <v>Contract</v>
      </c>
      <c r="F1" s="65" t="str">
        <f>IFERROR(__xludf.DUMMYFUNCTION("""COMPUTED_VALUE"""),"Change Orders")</f>
        <v>Change Orders</v>
      </c>
      <c r="G1" s="66" t="str">
        <f>IFERROR(__xludf.DUMMYFUNCTION("""COMPUTED_VALUE"""),"Invoiced")</f>
        <v>Invoiced</v>
      </c>
      <c r="H1" s="65" t="str">
        <f>IFERROR(__xludf.DUMMYFUNCTION("""COMPUTED_VALUE"""),"Amount Paid")</f>
        <v>Amount Paid</v>
      </c>
      <c r="I1" s="30" t="str">
        <f>IFERROR(__xludf.DUMMYFUNCTION("""COMPUTED_VALUE"""),"Expected Commission")</f>
        <v>Expected Commission</v>
      </c>
      <c r="J1" s="66" t="str">
        <f>IFERROR(__xludf.DUMMYFUNCTION("""COMPUTED_VALUE"""),"Commission Paid")</f>
        <v>Commission Paid</v>
      </c>
      <c r="K1" s="67" t="str">
        <f>IFERROR(__xludf.DUMMYFUNCTION("""COMPUTED_VALUE"""),"Commission Owed")</f>
        <v>Commission Owed</v>
      </c>
      <c r="L1" s="31" t="s">
        <v>154</v>
      </c>
      <c r="M1" s="31" t="s">
        <v>148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2">
        <f>IFERROR(__xludf.DUMMYFUNCTION("""COMPUTED_VALUE"""),2.0255019E7)</f>
        <v>20255019</v>
      </c>
      <c r="B2" s="32" t="str">
        <f>IFERROR(__xludf.DUMMYFUNCTION("""COMPUTED_VALUE"""),"Andrew &amp; Lynn Evans")</f>
        <v>Andrew &amp; Lynn Evans</v>
      </c>
      <c r="C2" s="33" t="b">
        <f>IFERROR(__xludf.DUMMYFUNCTION("""COMPUTED_VALUE"""),TRUE)</f>
        <v>1</v>
      </c>
      <c r="D2" s="33">
        <f>IFERROR(__xludf.DUMMYFUNCTION("""COMPUTED_VALUE"""),0.4409346700920841)</f>
        <v>0.4409346701</v>
      </c>
      <c r="E2" s="34">
        <f>IFERROR(__xludf.DUMMYFUNCTION("""COMPUTED_VALUE"""),16673.22)</f>
        <v>16673.22</v>
      </c>
      <c r="F2" s="34">
        <f>IFERROR(__xludf.DUMMYFUNCTION("""COMPUTED_VALUE"""),1925.0)</f>
        <v>1925</v>
      </c>
      <c r="G2" s="34">
        <f>IFERROR(__xludf.DUMMYFUNCTION("""COMPUTED_VALUE"""),18598.22)</f>
        <v>18598.22</v>
      </c>
      <c r="H2" s="34">
        <f>IFERROR(__xludf.DUMMYFUNCTION("""COMPUTED_VALUE"""),18598.22)</f>
        <v>18598.22</v>
      </c>
      <c r="I2" s="40">
        <f>IFERROR(__xludf.DUMMYFUNCTION("""COMPUTED_VALUE"""),929.9110000000001)</f>
        <v>929.911</v>
      </c>
      <c r="J2" s="34">
        <f>IFERROR(__xludf.DUMMYFUNCTION("""COMPUTED_VALUE"""),929.91)</f>
        <v>929.91</v>
      </c>
      <c r="K2" s="36">
        <f>IFERROR(__xludf.DUMMYFUNCTION("""COMPUTED_VALUE"""),0.0)</f>
        <v>0</v>
      </c>
      <c r="L2" s="37" t="b">
        <v>0</v>
      </c>
      <c r="M2" s="38"/>
    </row>
    <row r="3">
      <c r="A3" s="32">
        <f>IFERROR(__xludf.DUMMYFUNCTION("""COMPUTED_VALUE"""),2.025502E7)</f>
        <v>20255020</v>
      </c>
      <c r="B3" s="32" t="str">
        <f>IFERROR(__xludf.DUMMYFUNCTION("""COMPUTED_VALUE"""),"Lorraine Wood")</f>
        <v>Lorraine Wood</v>
      </c>
      <c r="C3" s="33" t="b">
        <f>IFERROR(__xludf.DUMMYFUNCTION("""COMPUTED_VALUE"""),TRUE)</f>
        <v>1</v>
      </c>
      <c r="D3" s="33">
        <f>IFERROR(__xludf.DUMMYFUNCTION("""COMPUTED_VALUE"""),0.460972240837026)</f>
        <v>0.4609722408</v>
      </c>
      <c r="E3" s="34">
        <f>IFERROR(__xludf.DUMMYFUNCTION("""COMPUTED_VALUE"""),18577.11)</f>
        <v>18577.11</v>
      </c>
      <c r="F3" s="34">
        <f>IFERROR(__xludf.DUMMYFUNCTION("""COMPUTED_VALUE"""),3135.0)</f>
        <v>3135</v>
      </c>
      <c r="G3" s="34">
        <f>IFERROR(__xludf.DUMMYFUNCTION("""COMPUTED_VALUE"""),21712.11)</f>
        <v>21712.11</v>
      </c>
      <c r="H3" s="34">
        <f>IFERROR(__xludf.DUMMYFUNCTION("""COMPUTED_VALUE"""),21712.11)</f>
        <v>21712.11</v>
      </c>
      <c r="I3" s="40">
        <f>IFERROR(__xludf.DUMMYFUNCTION("""COMPUTED_VALUE"""),1085.6055000000001)</f>
        <v>1085.6055</v>
      </c>
      <c r="J3" s="34">
        <f>IFERROR(__xludf.DUMMYFUNCTION("""COMPUTED_VALUE"""),1085.61)</f>
        <v>1085.61</v>
      </c>
      <c r="K3" s="36">
        <f>IFERROR(__xludf.DUMMYFUNCTION("""COMPUTED_VALUE"""),0.0)</f>
        <v>0</v>
      </c>
      <c r="L3" s="37" t="b">
        <v>0</v>
      </c>
      <c r="M3" s="28"/>
    </row>
    <row r="4">
      <c r="A4" s="32">
        <f>IFERROR(__xludf.DUMMYFUNCTION("""COMPUTED_VALUE"""),2.0255026E7)</f>
        <v>20255026</v>
      </c>
      <c r="B4" s="32" t="str">
        <f>IFERROR(__xludf.DUMMYFUNCTION("""COMPUTED_VALUE"""),"Steve and Robin Bliss")</f>
        <v>Steve and Robin Bliss</v>
      </c>
      <c r="C4" s="33" t="b">
        <f>IFERROR(__xludf.DUMMYFUNCTION("""COMPUTED_VALUE"""),TRUE)</f>
        <v>1</v>
      </c>
      <c r="D4" s="33">
        <f>IFERROR(__xludf.DUMMYFUNCTION("""COMPUTED_VALUE"""),0.6144879950749026)</f>
        <v>0.6144879951</v>
      </c>
      <c r="E4" s="34">
        <f>IFERROR(__xludf.DUMMYFUNCTION("""COMPUTED_VALUE"""),1218.25)</f>
        <v>1218.25</v>
      </c>
      <c r="F4" s="34">
        <f>IFERROR(__xludf.DUMMYFUNCTION("""COMPUTED_VALUE"""),0.0)</f>
        <v>0</v>
      </c>
      <c r="G4" s="34">
        <f>IFERROR(__xludf.DUMMYFUNCTION("""COMPUTED_VALUE"""),1218.25)</f>
        <v>1218.25</v>
      </c>
      <c r="H4" s="34">
        <f>IFERROR(__xludf.DUMMYFUNCTION("""COMPUTED_VALUE"""),1218.25)</f>
        <v>1218.25</v>
      </c>
      <c r="I4" s="40">
        <f>IFERROR(__xludf.DUMMYFUNCTION("""COMPUTED_VALUE"""),60.9125)</f>
        <v>60.9125</v>
      </c>
      <c r="J4" s="34">
        <f>IFERROR(__xludf.DUMMYFUNCTION("""COMPUTED_VALUE"""),60.91)</f>
        <v>60.91</v>
      </c>
      <c r="K4" s="36">
        <f>IFERROR(__xludf.DUMMYFUNCTION("""COMPUTED_VALUE"""),0.0)</f>
        <v>0</v>
      </c>
      <c r="L4" s="37" t="b">
        <v>0</v>
      </c>
      <c r="M4" s="28"/>
    </row>
    <row r="5">
      <c r="A5" s="32">
        <f>IFERROR(__xludf.DUMMYFUNCTION("""COMPUTED_VALUE"""),2.0255028E7)</f>
        <v>20255028</v>
      </c>
      <c r="B5" s="32" t="str">
        <f>IFERROR(__xludf.DUMMYFUNCTION("""COMPUTED_VALUE"""),"INS - Wes Beard")</f>
        <v>INS - Wes Beard</v>
      </c>
      <c r="C5" s="32" t="b">
        <f>IFERROR(__xludf.DUMMYFUNCTION("""COMPUTED_VALUE"""),TRUE)</f>
        <v>1</v>
      </c>
      <c r="D5" s="33">
        <f>IFERROR(__xludf.DUMMYFUNCTION("""COMPUTED_VALUE"""),0.5290893137739358)</f>
        <v>0.5290893138</v>
      </c>
      <c r="E5" s="34">
        <f>IFERROR(__xludf.DUMMYFUNCTION("""COMPUTED_VALUE"""),31456.65)</f>
        <v>31456.65</v>
      </c>
      <c r="F5" s="34">
        <f>IFERROR(__xludf.DUMMYFUNCTION("""COMPUTED_VALUE"""),5435.419999999998)</f>
        <v>5435.42</v>
      </c>
      <c r="G5" s="34">
        <f>IFERROR(__xludf.DUMMYFUNCTION("""COMPUTED_VALUE"""),36892.07)</f>
        <v>36892.07</v>
      </c>
      <c r="H5" s="34">
        <f>IFERROR(__xludf.DUMMYFUNCTION("""COMPUTED_VALUE"""),36892.07)</f>
        <v>36892.07</v>
      </c>
      <c r="I5" s="40">
        <f>IFERROR(__xludf.DUMMYFUNCTION("""COMPUTED_VALUE"""),1844.6035000000002)</f>
        <v>1844.6035</v>
      </c>
      <c r="J5" s="34">
        <f>IFERROR(__xludf.DUMMYFUNCTION("""COMPUTED_VALUE"""),1844.6)</f>
        <v>1844.6</v>
      </c>
      <c r="K5" s="36">
        <f>IFERROR(__xludf.DUMMYFUNCTION("""COMPUTED_VALUE"""),0.0)</f>
        <v>0</v>
      </c>
      <c r="L5" s="37" t="b">
        <v>0</v>
      </c>
      <c r="M5" s="28"/>
    </row>
    <row r="6">
      <c r="A6" s="32">
        <f>IFERROR(__xludf.DUMMYFUNCTION("""COMPUTED_VALUE"""),2.0255043E7)</f>
        <v>20255043</v>
      </c>
      <c r="B6" s="32" t="str">
        <f>IFERROR(__xludf.DUMMYFUNCTION("""COMPUTED_VALUE"""),"Amy Stamps")</f>
        <v>Amy Stamps</v>
      </c>
      <c r="C6" s="33" t="b">
        <f>IFERROR(__xludf.DUMMYFUNCTION("""COMPUTED_VALUE"""),TRUE)</f>
        <v>1</v>
      </c>
      <c r="D6" s="33">
        <f>IFERROR(__xludf.DUMMYFUNCTION("""COMPUTED_VALUE"""),0.9999750000000001)</f>
        <v>0.999975</v>
      </c>
      <c r="E6" s="34">
        <f>IFERROR(__xludf.DUMMYFUNCTION("""COMPUTED_VALUE"""),400.0)</f>
        <v>400</v>
      </c>
      <c r="F6" s="34">
        <f>IFERROR(__xludf.DUMMYFUNCTION("""COMPUTED_VALUE"""),0.0)</f>
        <v>0</v>
      </c>
      <c r="G6" s="34">
        <f>IFERROR(__xludf.DUMMYFUNCTION("""COMPUTED_VALUE"""),400.0)</f>
        <v>400</v>
      </c>
      <c r="H6" s="34">
        <f>IFERROR(__xludf.DUMMYFUNCTION("""COMPUTED_VALUE"""),400.0)</f>
        <v>400</v>
      </c>
      <c r="I6" s="40">
        <f>IFERROR(__xludf.DUMMYFUNCTION("""COMPUTED_VALUE"""),20.0)</f>
        <v>20</v>
      </c>
      <c r="J6" s="34">
        <f>IFERROR(__xludf.DUMMYFUNCTION("""COMPUTED_VALUE"""),20.0)</f>
        <v>20</v>
      </c>
      <c r="K6" s="36">
        <f>IFERROR(__xludf.DUMMYFUNCTION("""COMPUTED_VALUE"""),0.0)</f>
        <v>0</v>
      </c>
      <c r="L6" s="37" t="b">
        <v>0</v>
      </c>
      <c r="M6" s="28"/>
    </row>
    <row r="7">
      <c r="A7" s="32">
        <f>IFERROR(__xludf.DUMMYFUNCTION("""COMPUTED_VALUE"""),2.0255046E7)</f>
        <v>20255046</v>
      </c>
      <c r="B7" s="32" t="str">
        <f>IFERROR(__xludf.DUMMYFUNCTION("""COMPUTED_VALUE"""),"Mark Webster")</f>
        <v>Mark Webster</v>
      </c>
      <c r="C7" s="33" t="b">
        <f>IFERROR(__xludf.DUMMYFUNCTION("""COMPUTED_VALUE"""),TRUE)</f>
        <v>1</v>
      </c>
      <c r="D7" s="33">
        <f>IFERROR(__xludf.DUMMYFUNCTION("""COMPUTED_VALUE"""),0.53125)</f>
        <v>0.53125</v>
      </c>
      <c r="E7" s="34">
        <f>IFERROR(__xludf.DUMMYFUNCTION("""COMPUTED_VALUE"""),640.0)</f>
        <v>640</v>
      </c>
      <c r="F7" s="34">
        <f>IFERROR(__xludf.DUMMYFUNCTION("""COMPUTED_VALUE"""),0.0)</f>
        <v>0</v>
      </c>
      <c r="G7" s="34">
        <f>IFERROR(__xludf.DUMMYFUNCTION("""COMPUTED_VALUE"""),640.0)</f>
        <v>640</v>
      </c>
      <c r="H7" s="34">
        <f>IFERROR(__xludf.DUMMYFUNCTION("""COMPUTED_VALUE"""),640.0)</f>
        <v>640</v>
      </c>
      <c r="I7" s="40">
        <f>IFERROR(__xludf.DUMMYFUNCTION("""COMPUTED_VALUE"""),32.0)</f>
        <v>32</v>
      </c>
      <c r="J7" s="34">
        <f>IFERROR(__xludf.DUMMYFUNCTION("""COMPUTED_VALUE"""),32.0)</f>
        <v>32</v>
      </c>
      <c r="K7" s="36">
        <f>IFERROR(__xludf.DUMMYFUNCTION("""COMPUTED_VALUE"""),0.0)</f>
        <v>0</v>
      </c>
      <c r="L7" s="37" t="b">
        <v>0</v>
      </c>
      <c r="M7" s="28"/>
    </row>
    <row r="8">
      <c r="A8" s="32">
        <f>IFERROR(__xludf.DUMMYFUNCTION("""COMPUTED_VALUE"""),2.0255049E7)</f>
        <v>20255049</v>
      </c>
      <c r="B8" s="32" t="str">
        <f>IFERROR(__xludf.DUMMYFUNCTION("""COMPUTED_VALUE"""),"Pam Sizemore")</f>
        <v>Pam Sizemore</v>
      </c>
      <c r="C8" s="32" t="b">
        <f>IFERROR(__xludf.DUMMYFUNCTION("""COMPUTED_VALUE"""),TRUE)</f>
        <v>1</v>
      </c>
      <c r="D8" s="33">
        <f>IFERROR(__xludf.DUMMYFUNCTION("""COMPUTED_VALUE"""),0.36757893381947976)</f>
        <v>0.3675789338</v>
      </c>
      <c r="E8" s="34">
        <f>IFERROR(__xludf.DUMMYFUNCTION("""COMPUTED_VALUE"""),7299.87)</f>
        <v>7299.87</v>
      </c>
      <c r="F8" s="34">
        <f>IFERROR(__xludf.DUMMYFUNCTION("""COMPUTED_VALUE"""),780.0)</f>
        <v>780</v>
      </c>
      <c r="G8" s="34">
        <f>IFERROR(__xludf.DUMMYFUNCTION("""COMPUTED_VALUE"""),8079.87)</f>
        <v>8079.87</v>
      </c>
      <c r="H8" s="34">
        <f>IFERROR(__xludf.DUMMYFUNCTION("""COMPUTED_VALUE"""),8079.87)</f>
        <v>8079.87</v>
      </c>
      <c r="I8" s="40">
        <f>IFERROR(__xludf.DUMMYFUNCTION("""COMPUTED_VALUE"""),403.99350000000004)</f>
        <v>403.9935</v>
      </c>
      <c r="J8" s="34">
        <f>IFERROR(__xludf.DUMMYFUNCTION("""COMPUTED_VALUE"""),403.99)</f>
        <v>403.99</v>
      </c>
      <c r="K8" s="36">
        <f>IFERROR(__xludf.DUMMYFUNCTION("""COMPUTED_VALUE"""),0.0)</f>
        <v>0</v>
      </c>
      <c r="L8" s="37" t="b">
        <v>0</v>
      </c>
      <c r="M8" s="28"/>
    </row>
    <row r="9">
      <c r="A9" s="41">
        <f>IFERROR(__xludf.DUMMYFUNCTION("""COMPUTED_VALUE"""),2.0255057E7)</f>
        <v>20255057</v>
      </c>
      <c r="B9" s="41" t="str">
        <f>IFERROR(__xludf.DUMMYFUNCTION("""COMPUTED_VALUE"""),"INS - Emily Hammel")</f>
        <v>INS - Emily Hammel</v>
      </c>
      <c r="C9" s="42" t="b">
        <f>IFERROR(__xludf.DUMMYFUNCTION("""COMPUTED_VALUE"""),FALSE)</f>
        <v>0</v>
      </c>
      <c r="D9" s="42">
        <f>IFERROR(__xludf.DUMMYFUNCTION("""COMPUTED_VALUE"""),0.4569473604740619)</f>
        <v>0.4569473605</v>
      </c>
      <c r="E9" s="43">
        <f>IFERROR(__xludf.DUMMYFUNCTION("""COMPUTED_VALUE"""),21590.43)</f>
        <v>21590.43</v>
      </c>
      <c r="F9" s="43">
        <f>IFERROR(__xludf.DUMMYFUNCTION("""COMPUTED_VALUE"""),0.0)</f>
        <v>0</v>
      </c>
      <c r="G9" s="43">
        <f>IFERROR(__xludf.DUMMYFUNCTION("""COMPUTED_VALUE"""),19516.94)</f>
        <v>19516.94</v>
      </c>
      <c r="H9" s="43">
        <f>IFERROR(__xludf.DUMMYFUNCTION("""COMPUTED_VALUE"""),18712.23)</f>
        <v>18712.23</v>
      </c>
      <c r="I9" s="44">
        <f>IFERROR(__xludf.DUMMYFUNCTION("""COMPUTED_VALUE"""),1079.5215)</f>
        <v>1079.5215</v>
      </c>
      <c r="J9" s="43">
        <f>IFERROR(__xludf.DUMMYFUNCTION("""COMPUTED_VALUE"""),935.61)</f>
        <v>935.61</v>
      </c>
      <c r="K9" s="45">
        <f>IFERROR(__xludf.DUMMYFUNCTION("""COMPUTED_VALUE"""),0.0)</f>
        <v>0</v>
      </c>
      <c r="L9" s="46" t="b">
        <v>0</v>
      </c>
      <c r="M9" s="28"/>
    </row>
    <row r="10">
      <c r="A10" s="32">
        <f>IFERROR(__xludf.DUMMYFUNCTION("""COMPUTED_VALUE"""),2.0255061E7)</f>
        <v>20255061</v>
      </c>
      <c r="B10" s="32" t="str">
        <f>IFERROR(__xludf.DUMMYFUNCTION("""COMPUTED_VALUE"""),"David Torrence")</f>
        <v>David Torrence</v>
      </c>
      <c r="C10" s="33" t="b">
        <f>IFERROR(__xludf.DUMMYFUNCTION("""COMPUTED_VALUE"""),TRUE)</f>
        <v>1</v>
      </c>
      <c r="D10" s="33">
        <f>IFERROR(__xludf.DUMMYFUNCTION("""COMPUTED_VALUE"""),0.39301419951389727)</f>
        <v>0.3930141995</v>
      </c>
      <c r="E10" s="34">
        <f>IFERROR(__xludf.DUMMYFUNCTION("""COMPUTED_VALUE"""),10657.27)</f>
        <v>10657.27</v>
      </c>
      <c r="F10" s="34">
        <f>IFERROR(__xludf.DUMMYFUNCTION("""COMPUTED_VALUE"""),110.0)</f>
        <v>110</v>
      </c>
      <c r="G10" s="34">
        <f>IFERROR(__xludf.DUMMYFUNCTION("""COMPUTED_VALUE"""),10767.27)</f>
        <v>10767.27</v>
      </c>
      <c r="H10" s="34">
        <f>IFERROR(__xludf.DUMMYFUNCTION("""COMPUTED_VALUE"""),10767.27)</f>
        <v>10767.27</v>
      </c>
      <c r="I10" s="40">
        <f>IFERROR(__xludf.DUMMYFUNCTION("""COMPUTED_VALUE"""),538.3635)</f>
        <v>538.3635</v>
      </c>
      <c r="J10" s="34">
        <f>IFERROR(__xludf.DUMMYFUNCTION("""COMPUTED_VALUE"""),538.36)</f>
        <v>538.36</v>
      </c>
      <c r="K10" s="36">
        <f>IFERROR(__xludf.DUMMYFUNCTION("""COMPUTED_VALUE"""),0.0)</f>
        <v>0</v>
      </c>
      <c r="L10" s="37" t="b">
        <v>0</v>
      </c>
      <c r="M10" s="28"/>
    </row>
    <row r="11">
      <c r="A11" s="32">
        <f>IFERROR(__xludf.DUMMYFUNCTION("""COMPUTED_VALUE"""),2.0255063E7)</f>
        <v>20255063</v>
      </c>
      <c r="B11" s="32" t="str">
        <f>IFERROR(__xludf.DUMMYFUNCTION("""COMPUTED_VALUE"""),"INS - Glen Shelley")</f>
        <v>INS - Glen Shelley</v>
      </c>
      <c r="C11" s="32" t="b">
        <f>IFERROR(__xludf.DUMMYFUNCTION("""COMPUTED_VALUE"""),TRUE)</f>
        <v>1</v>
      </c>
      <c r="D11" s="33">
        <f>IFERROR(__xludf.DUMMYFUNCTION("""COMPUTED_VALUE"""),0.48599189644352403)</f>
        <v>0.4859918964</v>
      </c>
      <c r="E11" s="34">
        <f>IFERROR(__xludf.DUMMYFUNCTION("""COMPUTED_VALUE"""),12550.85)</f>
        <v>12550.85</v>
      </c>
      <c r="F11" s="34">
        <f>IFERROR(__xludf.DUMMYFUNCTION("""COMPUTED_VALUE"""),3160.7700000000004)</f>
        <v>3160.77</v>
      </c>
      <c r="G11" s="34">
        <f>IFERROR(__xludf.DUMMYFUNCTION("""COMPUTED_VALUE"""),11109.02)</f>
        <v>11109.02</v>
      </c>
      <c r="H11" s="34">
        <f>IFERROR(__xludf.DUMMYFUNCTION("""COMPUTED_VALUE"""),15711.62)</f>
        <v>15711.62</v>
      </c>
      <c r="I11" s="40">
        <f>IFERROR(__xludf.DUMMYFUNCTION("""COMPUTED_VALUE"""),785.5810000000001)</f>
        <v>785.581</v>
      </c>
      <c r="J11" s="34">
        <f>IFERROR(__xludf.DUMMYFUNCTION("""COMPUTED_VALUE"""),785.59)</f>
        <v>785.59</v>
      </c>
      <c r="K11" s="36">
        <f>IFERROR(__xludf.DUMMYFUNCTION("""COMPUTED_VALUE"""),0.0)</f>
        <v>0</v>
      </c>
      <c r="L11" s="37" t="b">
        <v>0</v>
      </c>
      <c r="M11" s="28"/>
    </row>
    <row r="12">
      <c r="A12" s="32">
        <f>IFERROR(__xludf.DUMMYFUNCTION("""COMPUTED_VALUE"""),2.0255071E7)</f>
        <v>20255071</v>
      </c>
      <c r="B12" s="32" t="str">
        <f>IFERROR(__xludf.DUMMYFUNCTION("""COMPUTED_VALUE"""),"Manes Addition")</f>
        <v>Manes Addition</v>
      </c>
      <c r="C12" s="32" t="b">
        <f>IFERROR(__xludf.DUMMYFUNCTION("""COMPUTED_VALUE"""),TRUE)</f>
        <v>1</v>
      </c>
      <c r="D12" s="33">
        <f>IFERROR(__xludf.DUMMYFUNCTION("""COMPUTED_VALUE"""),0.4072614200172943)</f>
        <v>0.40726142</v>
      </c>
      <c r="E12" s="34">
        <f>IFERROR(__xludf.DUMMYFUNCTION("""COMPUTED_VALUE"""),9641.93)</f>
        <v>9641.93</v>
      </c>
      <c r="F12" s="34">
        <f>IFERROR(__xludf.DUMMYFUNCTION("""COMPUTED_VALUE"""),-425.0)</f>
        <v>-425</v>
      </c>
      <c r="G12" s="34">
        <f>IFERROR(__xludf.DUMMYFUNCTION("""COMPUTED_VALUE"""),9216.93)</f>
        <v>9216.93</v>
      </c>
      <c r="H12" s="34">
        <f>IFERROR(__xludf.DUMMYFUNCTION("""COMPUTED_VALUE"""),9216.93)</f>
        <v>9216.93</v>
      </c>
      <c r="I12" s="40">
        <f>IFERROR(__xludf.DUMMYFUNCTION("""COMPUTED_VALUE"""),460.84650000000005)</f>
        <v>460.8465</v>
      </c>
      <c r="J12" s="34">
        <f>IFERROR(__xludf.DUMMYFUNCTION("""COMPUTED_VALUE"""),460.85)</f>
        <v>460.85</v>
      </c>
      <c r="K12" s="36">
        <f>IFERROR(__xludf.DUMMYFUNCTION("""COMPUTED_VALUE"""),0.0)</f>
        <v>0</v>
      </c>
      <c r="L12" s="37" t="b">
        <v>0</v>
      </c>
      <c r="M12" s="28"/>
    </row>
    <row r="13">
      <c r="A13" s="32">
        <f>IFERROR(__xludf.DUMMYFUNCTION("""COMPUTED_VALUE"""),2.0255072E7)</f>
        <v>20255072</v>
      </c>
      <c r="B13" s="32" t="str">
        <f>IFERROR(__xludf.DUMMYFUNCTION("""COMPUTED_VALUE"""),"Kathy Hartman")</f>
        <v>Kathy Hartman</v>
      </c>
      <c r="C13" s="33" t="b">
        <f>IFERROR(__xludf.DUMMYFUNCTION("""COMPUTED_VALUE"""),TRUE)</f>
        <v>1</v>
      </c>
      <c r="D13" s="33">
        <f>IFERROR(__xludf.DUMMYFUNCTION("""COMPUTED_VALUE"""),0.5833916233475409)</f>
        <v>0.5833916233</v>
      </c>
      <c r="E13" s="34">
        <f>IFERROR(__xludf.DUMMYFUNCTION("""COMPUTED_VALUE"""),1987.19)</f>
        <v>1987.19</v>
      </c>
      <c r="F13" s="34">
        <f>IFERROR(__xludf.DUMMYFUNCTION("""COMPUTED_VALUE"""),0.0)</f>
        <v>0</v>
      </c>
      <c r="G13" s="34">
        <f>IFERROR(__xludf.DUMMYFUNCTION("""COMPUTED_VALUE"""),1987.19)</f>
        <v>1987.19</v>
      </c>
      <c r="H13" s="34">
        <f>IFERROR(__xludf.DUMMYFUNCTION("""COMPUTED_VALUE"""),1987.19)</f>
        <v>1987.19</v>
      </c>
      <c r="I13" s="40">
        <f>IFERROR(__xludf.DUMMYFUNCTION("""COMPUTED_VALUE"""),99.35950000000001)</f>
        <v>99.3595</v>
      </c>
      <c r="J13" s="34">
        <f>IFERROR(__xludf.DUMMYFUNCTION("""COMPUTED_VALUE"""),99.36)</f>
        <v>99.36</v>
      </c>
      <c r="K13" s="36">
        <f>IFERROR(__xludf.DUMMYFUNCTION("""COMPUTED_VALUE"""),0.0)</f>
        <v>0</v>
      </c>
      <c r="L13" s="37" t="b">
        <v>0</v>
      </c>
      <c r="M13" s="28"/>
    </row>
    <row r="14">
      <c r="A14" s="32">
        <f>IFERROR(__xludf.DUMMYFUNCTION("""COMPUTED_VALUE"""),2.025508E7)</f>
        <v>20255080</v>
      </c>
      <c r="B14" s="32" t="str">
        <f>IFERROR(__xludf.DUMMYFUNCTION("""COMPUTED_VALUE"""),"Kyle Piepmeyer")</f>
        <v>Kyle Piepmeyer</v>
      </c>
      <c r="C14" s="32" t="b">
        <f>IFERROR(__xludf.DUMMYFUNCTION("""COMPUTED_VALUE"""),TRUE)</f>
        <v>1</v>
      </c>
      <c r="D14" s="33">
        <f>IFERROR(__xludf.DUMMYFUNCTION("""COMPUTED_VALUE"""),0.4033411401079022)</f>
        <v>0.4033411401</v>
      </c>
      <c r="E14" s="34">
        <f>IFERROR(__xludf.DUMMYFUNCTION("""COMPUTED_VALUE"""),14422.18)</f>
        <v>14422.18</v>
      </c>
      <c r="F14" s="34">
        <f>IFERROR(__xludf.DUMMYFUNCTION("""COMPUTED_VALUE"""),1470.0)</f>
        <v>1470</v>
      </c>
      <c r="G14" s="34">
        <f>IFERROR(__xludf.DUMMYFUNCTION("""COMPUTED_VALUE"""),15892.18)</f>
        <v>15892.18</v>
      </c>
      <c r="H14" s="34">
        <f>IFERROR(__xludf.DUMMYFUNCTION("""COMPUTED_VALUE"""),15892.18)</f>
        <v>15892.18</v>
      </c>
      <c r="I14" s="40">
        <f>IFERROR(__xludf.DUMMYFUNCTION("""COMPUTED_VALUE"""),794.609)</f>
        <v>794.609</v>
      </c>
      <c r="J14" s="34">
        <f>IFERROR(__xludf.DUMMYFUNCTION("""COMPUTED_VALUE"""),794.61)</f>
        <v>794.61</v>
      </c>
      <c r="K14" s="36">
        <f>IFERROR(__xludf.DUMMYFUNCTION("""COMPUTED_VALUE"""),0.0)</f>
        <v>0</v>
      </c>
      <c r="L14" s="37" t="b">
        <v>0</v>
      </c>
      <c r="M14" s="28"/>
    </row>
    <row r="15">
      <c r="A15" s="32">
        <f>IFERROR(__xludf.DUMMYFUNCTION("""COMPUTED_VALUE"""),2.0255081E7)</f>
        <v>20255081</v>
      </c>
      <c r="B15" s="32" t="str">
        <f>IFERROR(__xludf.DUMMYFUNCTION("""COMPUTED_VALUE"""),"Cindy Eubanks")</f>
        <v>Cindy Eubanks</v>
      </c>
      <c r="C15" s="33" t="b">
        <f>IFERROR(__xludf.DUMMYFUNCTION("""COMPUTED_VALUE"""),TRUE)</f>
        <v>1</v>
      </c>
      <c r="D15" s="33">
        <f>IFERROR(__xludf.DUMMYFUNCTION("""COMPUTED_VALUE"""),0.43060220714122943)</f>
        <v>0.4306022071</v>
      </c>
      <c r="E15" s="34">
        <f>IFERROR(__xludf.DUMMYFUNCTION("""COMPUTED_VALUE"""),23168.82)</f>
        <v>23168.82</v>
      </c>
      <c r="F15" s="34">
        <f>IFERROR(__xludf.DUMMYFUNCTION("""COMPUTED_VALUE"""),440.0)</f>
        <v>440</v>
      </c>
      <c r="G15" s="34">
        <f>IFERROR(__xludf.DUMMYFUNCTION("""COMPUTED_VALUE"""),23608.82)</f>
        <v>23608.82</v>
      </c>
      <c r="H15" s="34">
        <f>IFERROR(__xludf.DUMMYFUNCTION("""COMPUTED_VALUE"""),23608.82)</f>
        <v>23608.82</v>
      </c>
      <c r="I15" s="40">
        <f>IFERROR(__xludf.DUMMYFUNCTION("""COMPUTED_VALUE"""),1180.441)</f>
        <v>1180.441</v>
      </c>
      <c r="J15" s="34">
        <f>IFERROR(__xludf.DUMMYFUNCTION("""COMPUTED_VALUE"""),1180.44)</f>
        <v>1180.44</v>
      </c>
      <c r="K15" s="36">
        <f>IFERROR(__xludf.DUMMYFUNCTION("""COMPUTED_VALUE"""),0.0)</f>
        <v>0</v>
      </c>
      <c r="L15" s="37" t="b">
        <v>0</v>
      </c>
      <c r="M15" s="28"/>
    </row>
    <row r="16">
      <c r="A16" s="32">
        <f>IFERROR(__xludf.DUMMYFUNCTION("""COMPUTED_VALUE"""),2.0255085E7)</f>
        <v>20255085</v>
      </c>
      <c r="B16" s="32" t="str">
        <f>IFERROR(__xludf.DUMMYFUNCTION("""COMPUTED_VALUE"""),"Caroline Mantkowski")</f>
        <v>Caroline Mantkowski</v>
      </c>
      <c r="C16" s="33" t="b">
        <f>IFERROR(__xludf.DUMMYFUNCTION("""COMPUTED_VALUE"""),TRUE)</f>
        <v>1</v>
      </c>
      <c r="D16" s="33">
        <f>IFERROR(__xludf.DUMMYFUNCTION("""COMPUTED_VALUE"""),0.8205052477967691)</f>
        <v>0.8205052478</v>
      </c>
      <c r="E16" s="34">
        <f>IFERROR(__xludf.DUMMYFUNCTION("""COMPUTED_VALUE"""),4029.31)</f>
        <v>4029.31</v>
      </c>
      <c r="F16" s="34">
        <f>IFERROR(__xludf.DUMMYFUNCTION("""COMPUTED_VALUE"""),0.0)</f>
        <v>0</v>
      </c>
      <c r="G16" s="34">
        <f>IFERROR(__xludf.DUMMYFUNCTION("""COMPUTED_VALUE"""),4029.31)</f>
        <v>4029.31</v>
      </c>
      <c r="H16" s="34">
        <f>IFERROR(__xludf.DUMMYFUNCTION("""COMPUTED_VALUE"""),4029.31)</f>
        <v>4029.31</v>
      </c>
      <c r="I16" s="40">
        <f>IFERROR(__xludf.DUMMYFUNCTION("""COMPUTED_VALUE"""),201.46550000000002)</f>
        <v>201.4655</v>
      </c>
      <c r="J16" s="34">
        <f>IFERROR(__xludf.DUMMYFUNCTION("""COMPUTED_VALUE"""),201.47)</f>
        <v>201.47</v>
      </c>
      <c r="K16" s="36">
        <f>IFERROR(__xludf.DUMMYFUNCTION("""COMPUTED_VALUE"""),0.0)</f>
        <v>0</v>
      </c>
      <c r="L16" s="37" t="b">
        <v>0</v>
      </c>
      <c r="M16" s="28"/>
    </row>
    <row r="17">
      <c r="A17" s="41">
        <f>IFERROR(__xludf.DUMMYFUNCTION("""COMPUTED_VALUE"""),2.0255087E7)</f>
        <v>20255087</v>
      </c>
      <c r="B17" s="41" t="str">
        <f>IFERROR(__xludf.DUMMYFUNCTION("""COMPUTED_VALUE"""),"INS - Carol Morgan (Beth Lainhart)")</f>
        <v>INS - Carol Morgan (Beth Lainhart)</v>
      </c>
      <c r="C17" s="41" t="b">
        <f>IFERROR(__xludf.DUMMYFUNCTION("""COMPUTED_VALUE"""),FALSE)</f>
        <v>0</v>
      </c>
      <c r="D17" s="42">
        <f>IFERROR(__xludf.DUMMYFUNCTION("""COMPUTED_VALUE"""),0.597165018416219)</f>
        <v>0.5971650184</v>
      </c>
      <c r="E17" s="43">
        <f>IFERROR(__xludf.DUMMYFUNCTION("""COMPUTED_VALUE"""),14514.380000000001)</f>
        <v>14514.38</v>
      </c>
      <c r="F17" s="43">
        <f>IFERROR(__xludf.DUMMYFUNCTION("""COMPUTED_VALUE"""),0.0)</f>
        <v>0</v>
      </c>
      <c r="G17" s="43">
        <f>IFERROR(__xludf.DUMMYFUNCTION("""COMPUTED_VALUE"""),7510.2)</f>
        <v>7510.2</v>
      </c>
      <c r="H17" s="43">
        <f>IFERROR(__xludf.DUMMYFUNCTION("""COMPUTED_VALUE"""),7510.2)</f>
        <v>7510.2</v>
      </c>
      <c r="I17" s="44">
        <f>IFERROR(__xludf.DUMMYFUNCTION("""COMPUTED_VALUE"""),725.719)</f>
        <v>725.719</v>
      </c>
      <c r="J17" s="43">
        <f>IFERROR(__xludf.DUMMYFUNCTION("""COMPUTED_VALUE"""),0.0)</f>
        <v>0</v>
      </c>
      <c r="K17" s="43">
        <f>IFERROR(__xludf.DUMMYFUNCTION("""COMPUTED_VALUE"""),0.0)</f>
        <v>0</v>
      </c>
      <c r="L17" s="46" t="b">
        <v>0</v>
      </c>
      <c r="M17" s="28"/>
    </row>
    <row r="18">
      <c r="A18" s="32">
        <f>IFERROR(__xludf.DUMMYFUNCTION("""COMPUTED_VALUE"""),2.0255093E7)</f>
        <v>20255093</v>
      </c>
      <c r="B18" s="32" t="str">
        <f>IFERROR(__xludf.DUMMYFUNCTION("""COMPUTED_VALUE"""),"Level MB - The Maxwell")</f>
        <v>Level MB - The Maxwell</v>
      </c>
      <c r="C18" s="32" t="b">
        <f>IFERROR(__xludf.DUMMYFUNCTION("""COMPUTED_VALUE"""),TRUE)</f>
        <v>1</v>
      </c>
      <c r="D18" s="33">
        <f>IFERROR(__xludf.DUMMYFUNCTION("""COMPUTED_VALUE"""),0.4039552766545001)</f>
        <v>0.4039552767</v>
      </c>
      <c r="E18" s="34">
        <f>IFERROR(__xludf.DUMMYFUNCTION("""COMPUTED_VALUE"""),19549.51)</f>
        <v>19549.51</v>
      </c>
      <c r="F18" s="34">
        <f>IFERROR(__xludf.DUMMYFUNCTION("""COMPUTED_VALUE"""),2185.0)</f>
        <v>2185</v>
      </c>
      <c r="G18" s="34">
        <f>IFERROR(__xludf.DUMMYFUNCTION("""COMPUTED_VALUE"""),21734.51)</f>
        <v>21734.51</v>
      </c>
      <c r="H18" s="34">
        <f>IFERROR(__xludf.DUMMYFUNCTION("""COMPUTED_VALUE"""),21734.51)</f>
        <v>21734.51</v>
      </c>
      <c r="I18" s="40">
        <f>IFERROR(__xludf.DUMMYFUNCTION("""COMPUTED_VALUE"""),1086.7255)</f>
        <v>1086.7255</v>
      </c>
      <c r="J18" s="34">
        <f>IFERROR(__xludf.DUMMYFUNCTION("""COMPUTED_VALUE"""),1086.73)</f>
        <v>1086.73</v>
      </c>
      <c r="K18" s="36">
        <f>IFERROR(__xludf.DUMMYFUNCTION("""COMPUTED_VALUE"""),0.0)</f>
        <v>0</v>
      </c>
      <c r="L18" s="37" t="b">
        <v>0</v>
      </c>
      <c r="M18" s="28"/>
    </row>
    <row r="19">
      <c r="A19" s="32">
        <f>IFERROR(__xludf.DUMMYFUNCTION("""COMPUTED_VALUE"""),2.0255099E7)</f>
        <v>20255099</v>
      </c>
      <c r="B19" s="32" t="str">
        <f>IFERROR(__xludf.DUMMYFUNCTION("""COMPUTED_VALUE"""),"Ray Marker")</f>
        <v>Ray Marker</v>
      </c>
      <c r="C19" s="32" t="b">
        <f>IFERROR(__xludf.DUMMYFUNCTION("""COMPUTED_VALUE"""),TRUE)</f>
        <v>1</v>
      </c>
      <c r="D19" s="39">
        <f>IFERROR(__xludf.DUMMYFUNCTION("""COMPUTED_VALUE"""),0.14497031698394272)</f>
        <v>0.144970317</v>
      </c>
      <c r="E19" s="34">
        <f>IFERROR(__xludf.DUMMYFUNCTION("""COMPUTED_VALUE"""),1825.96)</f>
        <v>1825.96</v>
      </c>
      <c r="F19" s="34">
        <f>IFERROR(__xludf.DUMMYFUNCTION("""COMPUTED_VALUE"""),0.0)</f>
        <v>0</v>
      </c>
      <c r="G19" s="34">
        <f>IFERROR(__xludf.DUMMYFUNCTION("""COMPUTED_VALUE"""),1825.96)</f>
        <v>1825.96</v>
      </c>
      <c r="H19" s="34">
        <f>IFERROR(__xludf.DUMMYFUNCTION("""COMPUTED_VALUE"""),1825.96)</f>
        <v>1825.96</v>
      </c>
      <c r="I19" s="40">
        <f>IFERROR(__xludf.DUMMYFUNCTION("""COMPUTED_VALUE"""),91.298)</f>
        <v>91.298</v>
      </c>
      <c r="J19" s="34">
        <f>IFERROR(__xludf.DUMMYFUNCTION("""COMPUTED_VALUE"""),91.3)</f>
        <v>91.3</v>
      </c>
      <c r="K19" s="36">
        <f>IFERROR(__xludf.DUMMYFUNCTION("""COMPUTED_VALUE"""),0.0)</f>
        <v>0</v>
      </c>
      <c r="L19" s="37" t="b">
        <v>0</v>
      </c>
      <c r="M19" s="28"/>
    </row>
    <row r="20">
      <c r="A20" s="41">
        <f>IFERROR(__xludf.DUMMYFUNCTION("""COMPUTED_VALUE"""),2.0255102E7)</f>
        <v>20255102</v>
      </c>
      <c r="B20" s="41" t="str">
        <f>IFERROR(__xludf.DUMMYFUNCTION("""COMPUTED_VALUE"""),"Level MB - 30 N Main")</f>
        <v>Level MB - 30 N Main</v>
      </c>
      <c r="C20" s="41" t="b">
        <f>IFERROR(__xludf.DUMMYFUNCTION("""COMPUTED_VALUE"""),FALSE)</f>
        <v>0</v>
      </c>
      <c r="D20" s="39">
        <f>IFERROR(__xludf.DUMMYFUNCTION("""COMPUTED_VALUE"""),0.23586144069605203)</f>
        <v>0.2358614407</v>
      </c>
      <c r="E20" s="43">
        <f>IFERROR(__xludf.DUMMYFUNCTION("""COMPUTED_VALUE"""),47794.119999999995)</f>
        <v>47794.12</v>
      </c>
      <c r="F20" s="43">
        <f>IFERROR(__xludf.DUMMYFUNCTION("""COMPUTED_VALUE"""),0.0)</f>
        <v>0</v>
      </c>
      <c r="G20" s="43">
        <f>IFERROR(__xludf.DUMMYFUNCTION("""COMPUTED_VALUE"""),43838.76)</f>
        <v>43838.76</v>
      </c>
      <c r="H20" s="43">
        <f>IFERROR(__xludf.DUMMYFUNCTION("""COMPUTED_VALUE"""),43838.76)</f>
        <v>43838.76</v>
      </c>
      <c r="I20" s="44">
        <f>IFERROR(__xludf.DUMMYFUNCTION("""COMPUTED_VALUE"""),2389.7059999999997)</f>
        <v>2389.706</v>
      </c>
      <c r="J20" s="43">
        <f>IFERROR(__xludf.DUMMYFUNCTION("""COMPUTED_VALUE"""),0.0)</f>
        <v>0</v>
      </c>
      <c r="K20" s="45">
        <f>IFERROR(__xludf.DUMMYFUNCTION("""COMPUTED_VALUE"""),0.0)</f>
        <v>0</v>
      </c>
      <c r="L20" s="46" t="b">
        <v>0</v>
      </c>
      <c r="M20" s="28"/>
    </row>
    <row r="21">
      <c r="A21" s="32">
        <f>IFERROR(__xludf.DUMMYFUNCTION("""COMPUTED_VALUE"""),2.0255108E7)</f>
        <v>20255108</v>
      </c>
      <c r="B21" s="32" t="str">
        <f>IFERROR(__xludf.DUMMYFUNCTION("""COMPUTED_VALUE"""),"Barb Knobloch")</f>
        <v>Barb Knobloch</v>
      </c>
      <c r="C21" s="33" t="b">
        <f>IFERROR(__xludf.DUMMYFUNCTION("""COMPUTED_VALUE"""),TRUE)</f>
        <v>1</v>
      </c>
      <c r="D21" s="33">
        <f>IFERROR(__xludf.DUMMYFUNCTION("""COMPUTED_VALUE"""),0.35)</f>
        <v>0.35</v>
      </c>
      <c r="E21" s="34">
        <f>IFERROR(__xludf.DUMMYFUNCTION("""COMPUTED_VALUE"""),400.0)</f>
        <v>400</v>
      </c>
      <c r="F21" s="34">
        <f>IFERROR(__xludf.DUMMYFUNCTION("""COMPUTED_VALUE"""),0.0)</f>
        <v>0</v>
      </c>
      <c r="G21" s="34">
        <f>IFERROR(__xludf.DUMMYFUNCTION("""COMPUTED_VALUE"""),400.0)</f>
        <v>400</v>
      </c>
      <c r="H21" s="34">
        <f>IFERROR(__xludf.DUMMYFUNCTION("""COMPUTED_VALUE"""),400.0)</f>
        <v>400</v>
      </c>
      <c r="I21" s="40">
        <f>IFERROR(__xludf.DUMMYFUNCTION("""COMPUTED_VALUE"""),20.0)</f>
        <v>20</v>
      </c>
      <c r="J21" s="34">
        <f>IFERROR(__xludf.DUMMYFUNCTION("""COMPUTED_VALUE"""),20.0)</f>
        <v>20</v>
      </c>
      <c r="K21" s="36">
        <f>IFERROR(__xludf.DUMMYFUNCTION("""COMPUTED_VALUE"""),0.0)</f>
        <v>0</v>
      </c>
      <c r="L21" s="37" t="b">
        <v>0</v>
      </c>
      <c r="M21" s="28"/>
    </row>
    <row r="22">
      <c r="A22" s="32">
        <f>IFERROR(__xludf.DUMMYFUNCTION("""COMPUTED_VALUE"""),2.0255109E7)</f>
        <v>20255109</v>
      </c>
      <c r="B22" s="32" t="str">
        <f>IFERROR(__xludf.DUMMYFUNCTION("""COMPUTED_VALUE"""),"Sam Saylers")</f>
        <v>Sam Saylers</v>
      </c>
      <c r="C22" s="32" t="b">
        <f>IFERROR(__xludf.DUMMYFUNCTION("""COMPUTED_VALUE"""),TRUE)</f>
        <v>1</v>
      </c>
      <c r="D22" s="33">
        <f>IFERROR(__xludf.DUMMYFUNCTION("""COMPUTED_VALUE"""),0.32875097335730036)</f>
        <v>0.3287509734</v>
      </c>
      <c r="E22" s="34">
        <f>IFERROR(__xludf.DUMMYFUNCTION("""COMPUTED_VALUE"""),15115.21)</f>
        <v>15115.21</v>
      </c>
      <c r="F22" s="34">
        <f>IFERROR(__xludf.DUMMYFUNCTION("""COMPUTED_VALUE"""),0.0)</f>
        <v>0</v>
      </c>
      <c r="G22" s="34">
        <f>IFERROR(__xludf.DUMMYFUNCTION("""COMPUTED_VALUE"""),15115.21)</f>
        <v>15115.21</v>
      </c>
      <c r="H22" s="34">
        <f>IFERROR(__xludf.DUMMYFUNCTION("""COMPUTED_VALUE"""),15115.21)</f>
        <v>15115.21</v>
      </c>
      <c r="I22" s="40">
        <f>IFERROR(__xludf.DUMMYFUNCTION("""COMPUTED_VALUE"""),755.7605)</f>
        <v>755.7605</v>
      </c>
      <c r="J22" s="34">
        <f>IFERROR(__xludf.DUMMYFUNCTION("""COMPUTED_VALUE"""),755.76)</f>
        <v>755.76</v>
      </c>
      <c r="K22" s="36">
        <f>IFERROR(__xludf.DUMMYFUNCTION("""COMPUTED_VALUE"""),0.0)</f>
        <v>0</v>
      </c>
      <c r="L22" s="37" t="b">
        <v>0</v>
      </c>
      <c r="M22" s="28"/>
    </row>
    <row r="23">
      <c r="A23" s="32">
        <f>IFERROR(__xludf.DUMMYFUNCTION("""COMPUTED_VALUE"""),2.0255111E7)</f>
        <v>20255111</v>
      </c>
      <c r="B23" s="32" t="str">
        <f>IFERROR(__xludf.DUMMYFUNCTION("""COMPUTED_VALUE"""),"Dana Ronnebaum")</f>
        <v>Dana Ronnebaum</v>
      </c>
      <c r="C23" s="32" t="b">
        <f>IFERROR(__xludf.DUMMYFUNCTION("""COMPUTED_VALUE"""),TRUE)</f>
        <v>1</v>
      </c>
      <c r="D23" s="33">
        <f>IFERROR(__xludf.DUMMYFUNCTION("""COMPUTED_VALUE"""),0.38741736644631053)</f>
        <v>0.3874173664</v>
      </c>
      <c r="E23" s="34">
        <f>IFERROR(__xludf.DUMMYFUNCTION("""COMPUTED_VALUE"""),2686.56)</f>
        <v>2686.56</v>
      </c>
      <c r="F23" s="34">
        <f>IFERROR(__xludf.DUMMYFUNCTION("""COMPUTED_VALUE"""),0.0)</f>
        <v>0</v>
      </c>
      <c r="G23" s="34">
        <f>IFERROR(__xludf.DUMMYFUNCTION("""COMPUTED_VALUE"""),2686.56)</f>
        <v>2686.56</v>
      </c>
      <c r="H23" s="34">
        <f>IFERROR(__xludf.DUMMYFUNCTION("""COMPUTED_VALUE"""),2686.56)</f>
        <v>2686.56</v>
      </c>
      <c r="I23" s="40">
        <f>IFERROR(__xludf.DUMMYFUNCTION("""COMPUTED_VALUE"""),134.328)</f>
        <v>134.328</v>
      </c>
      <c r="J23" s="34">
        <f>IFERROR(__xludf.DUMMYFUNCTION("""COMPUTED_VALUE"""),134.33)</f>
        <v>134.33</v>
      </c>
      <c r="K23" s="34">
        <f>IFERROR(__xludf.DUMMYFUNCTION("""COMPUTED_VALUE"""),0.0)</f>
        <v>0</v>
      </c>
      <c r="L23" s="32" t="b">
        <v>0</v>
      </c>
      <c r="M23" s="28"/>
    </row>
    <row r="24">
      <c r="A24" s="32">
        <f>IFERROR(__xludf.DUMMYFUNCTION("""COMPUTED_VALUE"""),2.0255113E7)</f>
        <v>20255113</v>
      </c>
      <c r="B24" s="32" t="str">
        <f>IFERROR(__xludf.DUMMYFUNCTION("""COMPUTED_VALUE"""),"Tyler Kirby - Level MB")</f>
        <v>Tyler Kirby - Level MB</v>
      </c>
      <c r="C24" s="32" t="b">
        <f>IFERROR(__xludf.DUMMYFUNCTION("""COMPUTED_VALUE"""),TRUE)</f>
        <v>1</v>
      </c>
      <c r="D24" s="33">
        <f>IFERROR(__xludf.DUMMYFUNCTION("""COMPUTED_VALUE"""),0.3307304094312119)</f>
        <v>0.3307304094</v>
      </c>
      <c r="E24" s="34">
        <f>IFERROR(__xludf.DUMMYFUNCTION("""COMPUTED_VALUE"""),69607.26)</f>
        <v>69607.26</v>
      </c>
      <c r="F24" s="34">
        <f>IFERROR(__xludf.DUMMYFUNCTION("""COMPUTED_VALUE"""),1051.7400000000052)</f>
        <v>1051.74</v>
      </c>
      <c r="G24" s="34">
        <f>IFERROR(__xludf.DUMMYFUNCTION("""COMPUTED_VALUE"""),70652.26)</f>
        <v>70652.26</v>
      </c>
      <c r="H24" s="34">
        <f>IFERROR(__xludf.DUMMYFUNCTION("""COMPUTED_VALUE"""),70659.0)</f>
        <v>70659</v>
      </c>
      <c r="I24" s="40">
        <f>IFERROR(__xludf.DUMMYFUNCTION("""COMPUTED_VALUE"""),3532.9500000000003)</f>
        <v>3532.95</v>
      </c>
      <c r="J24" s="34">
        <f>IFERROR(__xludf.DUMMYFUNCTION("""COMPUTED_VALUE"""),3356.3)</f>
        <v>3356.3</v>
      </c>
      <c r="K24" s="36">
        <f>IFERROR(__xludf.DUMMYFUNCTION("""COMPUTED_VALUE"""),0.0)</f>
        <v>0</v>
      </c>
      <c r="L24" s="37" t="b">
        <v>0</v>
      </c>
      <c r="M24" s="28"/>
    </row>
    <row r="25">
      <c r="A25" s="32">
        <f>IFERROR(__xludf.DUMMYFUNCTION("""COMPUTED_VALUE"""),2.0255117E7)</f>
        <v>20255117</v>
      </c>
      <c r="B25" s="32" t="str">
        <f>IFERROR(__xludf.DUMMYFUNCTION("""COMPUTED_VALUE"""),"Level MB - Wes Driskell")</f>
        <v>Level MB - Wes Driskell</v>
      </c>
      <c r="C25" s="33" t="b">
        <f>IFERROR(__xludf.DUMMYFUNCTION("""COMPUTED_VALUE"""),TRUE)</f>
        <v>1</v>
      </c>
      <c r="D25" s="33">
        <f>IFERROR(__xludf.DUMMYFUNCTION("""COMPUTED_VALUE"""),0.4737603767875702)</f>
        <v>0.4737603768</v>
      </c>
      <c r="E25" s="34">
        <f>IFERROR(__xludf.DUMMYFUNCTION("""COMPUTED_VALUE"""),1520.22)</f>
        <v>1520.22</v>
      </c>
      <c r="F25" s="34">
        <f>IFERROR(__xludf.DUMMYFUNCTION("""COMPUTED_VALUE"""),0.0)</f>
        <v>0</v>
      </c>
      <c r="G25" s="34">
        <f>IFERROR(__xludf.DUMMYFUNCTION("""COMPUTED_VALUE"""),1520.22)</f>
        <v>1520.22</v>
      </c>
      <c r="H25" s="34">
        <f>IFERROR(__xludf.DUMMYFUNCTION("""COMPUTED_VALUE"""),1520.22)</f>
        <v>1520.22</v>
      </c>
      <c r="I25" s="40">
        <f>IFERROR(__xludf.DUMMYFUNCTION("""COMPUTED_VALUE"""),76.01100000000001)</f>
        <v>76.011</v>
      </c>
      <c r="J25" s="34">
        <f>IFERROR(__xludf.DUMMYFUNCTION("""COMPUTED_VALUE"""),76.01)</f>
        <v>76.01</v>
      </c>
      <c r="K25" s="36">
        <f>IFERROR(__xludf.DUMMYFUNCTION("""COMPUTED_VALUE"""),0.0)</f>
        <v>0</v>
      </c>
      <c r="L25" s="37" t="b">
        <v>0</v>
      </c>
      <c r="M25" s="28"/>
    </row>
    <row r="26">
      <c r="A26" s="32">
        <f>IFERROR(__xludf.DUMMYFUNCTION("""COMPUTED_VALUE"""),2.0255119E7)</f>
        <v>20255119</v>
      </c>
      <c r="B26" s="32" t="str">
        <f>IFERROR(__xludf.DUMMYFUNCTION("""COMPUTED_VALUE"""),"Barry Smith")</f>
        <v>Barry Smith</v>
      </c>
      <c r="C26" s="32" t="b">
        <f>IFERROR(__xludf.DUMMYFUNCTION("""COMPUTED_VALUE"""),TRUE)</f>
        <v>1</v>
      </c>
      <c r="D26" s="33">
        <f>IFERROR(__xludf.DUMMYFUNCTION("""COMPUTED_VALUE"""),0.4783900367579181)</f>
        <v>0.4783900368</v>
      </c>
      <c r="E26" s="34">
        <f>IFERROR(__xludf.DUMMYFUNCTION("""COMPUTED_VALUE"""),2123.61)</f>
        <v>2123.61</v>
      </c>
      <c r="F26" s="34">
        <f>IFERROR(__xludf.DUMMYFUNCTION("""COMPUTED_VALUE"""),259.5499999999997)</f>
        <v>259.55</v>
      </c>
      <c r="G26" s="34">
        <f>IFERROR(__xludf.DUMMYFUNCTION("""COMPUTED_VALUE"""),2383.61)</f>
        <v>2383.61</v>
      </c>
      <c r="H26" s="34">
        <f>IFERROR(__xludf.DUMMYFUNCTION("""COMPUTED_VALUE"""),2383.16)</f>
        <v>2383.16</v>
      </c>
      <c r="I26" s="40">
        <f>IFERROR(__xludf.DUMMYFUNCTION("""COMPUTED_VALUE"""),119.158)</f>
        <v>119.158</v>
      </c>
      <c r="J26" s="34">
        <f>IFERROR(__xludf.DUMMYFUNCTION("""COMPUTED_VALUE"""),119.18)</f>
        <v>119.18</v>
      </c>
      <c r="K26" s="36">
        <f>IFERROR(__xludf.DUMMYFUNCTION("""COMPUTED_VALUE"""),0.0)</f>
        <v>0</v>
      </c>
      <c r="L26" s="37" t="b">
        <v>0</v>
      </c>
      <c r="M26" s="28"/>
    </row>
    <row r="27">
      <c r="A27" s="32">
        <f>IFERROR(__xludf.DUMMYFUNCTION("""COMPUTED_VALUE"""),2.0255124E7)</f>
        <v>20255124</v>
      </c>
      <c r="B27" s="32" t="str">
        <f>IFERROR(__xludf.DUMMYFUNCTION("""COMPUTED_VALUE"""),"Viktoria Cooper")</f>
        <v>Viktoria Cooper</v>
      </c>
      <c r="C27" s="32" t="b">
        <f>IFERROR(__xludf.DUMMYFUNCTION("""COMPUTED_VALUE"""),TRUE)</f>
        <v>1</v>
      </c>
      <c r="D27" s="33">
        <f>IFERROR(__xludf.DUMMYFUNCTION("""COMPUTED_VALUE"""),0.4027377473375324)</f>
        <v>0.4027377473</v>
      </c>
      <c r="E27" s="34">
        <f>IFERROR(__xludf.DUMMYFUNCTION("""COMPUTED_VALUE"""),22611.09)</f>
        <v>22611.09</v>
      </c>
      <c r="F27" s="34">
        <f>IFERROR(__xludf.DUMMYFUNCTION("""COMPUTED_VALUE"""),-208.0)</f>
        <v>-208</v>
      </c>
      <c r="G27" s="34">
        <f>IFERROR(__xludf.DUMMYFUNCTION("""COMPUTED_VALUE"""),14391.95)</f>
        <v>14391.95</v>
      </c>
      <c r="H27" s="34">
        <f>IFERROR(__xludf.DUMMYFUNCTION("""COMPUTED_VALUE"""),22403.09)</f>
        <v>22403.09</v>
      </c>
      <c r="I27" s="40">
        <f>IFERROR(__xludf.DUMMYFUNCTION("""COMPUTED_VALUE"""),1120.1545)</f>
        <v>1120.1545</v>
      </c>
      <c r="J27" s="34">
        <f>IFERROR(__xludf.DUMMYFUNCTION("""COMPUTED_VALUE"""),1120.15)</f>
        <v>1120.15</v>
      </c>
      <c r="K27" s="36">
        <f>IFERROR(__xludf.DUMMYFUNCTION("""COMPUTED_VALUE"""),0.0)</f>
        <v>0</v>
      </c>
      <c r="L27" s="37" t="b">
        <v>0</v>
      </c>
      <c r="M27" s="28"/>
    </row>
    <row r="28">
      <c r="A28" s="32">
        <f>IFERROR(__xludf.DUMMYFUNCTION("""COMPUTED_VALUE"""),2.0255129E7)</f>
        <v>20255129</v>
      </c>
      <c r="B28" s="32" t="str">
        <f>IFERROR(__xludf.DUMMYFUNCTION("""COMPUTED_VALUE"""),"Frank Szmulowicz")</f>
        <v>Frank Szmulowicz</v>
      </c>
      <c r="C28" s="32" t="b">
        <f>IFERROR(__xludf.DUMMYFUNCTION("""COMPUTED_VALUE"""),TRUE)</f>
        <v>1</v>
      </c>
      <c r="D28" s="39">
        <f>IFERROR(__xludf.DUMMYFUNCTION("""COMPUTED_VALUE"""),0.3087694862087954)</f>
        <v>0.3087694862</v>
      </c>
      <c r="E28" s="34">
        <f>IFERROR(__xludf.DUMMYFUNCTION("""COMPUTED_VALUE"""),19140.46)</f>
        <v>19140.46</v>
      </c>
      <c r="F28" s="34">
        <f>IFERROR(__xludf.DUMMYFUNCTION("""COMPUTED_VALUE"""),0.0)</f>
        <v>0</v>
      </c>
      <c r="G28" s="34">
        <f>IFERROR(__xludf.DUMMYFUNCTION("""COMPUTED_VALUE"""),19140.46)</f>
        <v>19140.46</v>
      </c>
      <c r="H28" s="34">
        <f>IFERROR(__xludf.DUMMYFUNCTION("""COMPUTED_VALUE"""),19140.46)</f>
        <v>19140.46</v>
      </c>
      <c r="I28" s="35">
        <f>IFERROR(__xludf.DUMMYFUNCTION("""COMPUTED_VALUE"""),957.023)</f>
        <v>957.023</v>
      </c>
      <c r="J28" s="34">
        <f>IFERROR(__xludf.DUMMYFUNCTION("""COMPUTED_VALUE"""),957.02)</f>
        <v>957.02</v>
      </c>
      <c r="K28" s="34">
        <f>IFERROR(__xludf.DUMMYFUNCTION("""COMPUTED_VALUE"""),0.0)</f>
        <v>0</v>
      </c>
      <c r="L28" s="37" t="b">
        <v>0</v>
      </c>
      <c r="M28" s="28"/>
    </row>
    <row r="29">
      <c r="A29" s="32">
        <f>IFERROR(__xludf.DUMMYFUNCTION("""COMPUTED_VALUE"""),2.0255146E7)</f>
        <v>20255146</v>
      </c>
      <c r="B29" s="32" t="str">
        <f>IFERROR(__xludf.DUMMYFUNCTION("""COMPUTED_VALUE"""),"Graham King - E Canal")</f>
        <v>Graham King - E Canal</v>
      </c>
      <c r="C29" s="32" t="b">
        <f>IFERROR(__xludf.DUMMYFUNCTION("""COMPUTED_VALUE"""),TRUE)</f>
        <v>1</v>
      </c>
      <c r="D29" s="33">
        <f>IFERROR(__xludf.DUMMYFUNCTION("""COMPUTED_VALUE"""),0.35519258199061604)</f>
        <v>0.355192582</v>
      </c>
      <c r="E29" s="34">
        <f>IFERROR(__xludf.DUMMYFUNCTION("""COMPUTED_VALUE"""),11765.97)</f>
        <v>11765.97</v>
      </c>
      <c r="F29" s="34">
        <f>IFERROR(__xludf.DUMMYFUNCTION("""COMPUTED_VALUE"""),440.0)</f>
        <v>440</v>
      </c>
      <c r="G29" s="34">
        <f>IFERROR(__xludf.DUMMYFUNCTION("""COMPUTED_VALUE"""),12205.97)</f>
        <v>12205.97</v>
      </c>
      <c r="H29" s="34">
        <f>IFERROR(__xludf.DUMMYFUNCTION("""COMPUTED_VALUE"""),12205.97)</f>
        <v>12205.97</v>
      </c>
      <c r="I29" s="40">
        <f>IFERROR(__xludf.DUMMYFUNCTION("""COMPUTED_VALUE"""),610.2985)</f>
        <v>610.2985</v>
      </c>
      <c r="J29" s="34">
        <f>IFERROR(__xludf.DUMMYFUNCTION("""COMPUTED_VALUE"""),610.3)</f>
        <v>610.3</v>
      </c>
      <c r="K29" s="36">
        <f>IFERROR(__xludf.DUMMYFUNCTION("""COMPUTED_VALUE"""),0.0)</f>
        <v>0</v>
      </c>
      <c r="L29" s="37" t="b">
        <v>0</v>
      </c>
      <c r="M29" s="28"/>
    </row>
    <row r="30">
      <c r="A30" s="32">
        <f>IFERROR(__xludf.DUMMYFUNCTION("""COMPUTED_VALUE"""),2.0255148E7)</f>
        <v>20255148</v>
      </c>
      <c r="B30" s="32" t="str">
        <f>IFERROR(__xludf.DUMMYFUNCTION("""COMPUTED_VALUE"""),"Graham King - 10 N Long St")</f>
        <v>Graham King - 10 N Long St</v>
      </c>
      <c r="C30" s="32" t="b">
        <f>IFERROR(__xludf.DUMMYFUNCTION("""COMPUTED_VALUE"""),TRUE)</f>
        <v>1</v>
      </c>
      <c r="D30" s="33">
        <f>IFERROR(__xludf.DUMMYFUNCTION("""COMPUTED_VALUE"""),0.323546033703247)</f>
        <v>0.3235460337</v>
      </c>
      <c r="E30" s="34">
        <f>IFERROR(__xludf.DUMMYFUNCTION("""COMPUTED_VALUE"""),5344.2)</f>
        <v>5344.2</v>
      </c>
      <c r="F30" s="34">
        <f>IFERROR(__xludf.DUMMYFUNCTION("""COMPUTED_VALUE"""),495.0)</f>
        <v>495</v>
      </c>
      <c r="G30" s="34">
        <f>IFERROR(__xludf.DUMMYFUNCTION("""COMPUTED_VALUE"""),5839.2)</f>
        <v>5839.2</v>
      </c>
      <c r="H30" s="34">
        <f>IFERROR(__xludf.DUMMYFUNCTION("""COMPUTED_VALUE"""),5839.2)</f>
        <v>5839.2</v>
      </c>
      <c r="I30" s="40">
        <f>IFERROR(__xludf.DUMMYFUNCTION("""COMPUTED_VALUE"""),291.96)</f>
        <v>291.96</v>
      </c>
      <c r="J30" s="34">
        <f>IFERROR(__xludf.DUMMYFUNCTION("""COMPUTED_VALUE"""),291.96)</f>
        <v>291.96</v>
      </c>
      <c r="K30" s="36">
        <f>IFERROR(__xludf.DUMMYFUNCTION("""COMPUTED_VALUE"""),0.0)</f>
        <v>0</v>
      </c>
      <c r="L30" s="37" t="b">
        <v>0</v>
      </c>
      <c r="M30" s="28"/>
    </row>
    <row r="31">
      <c r="A31" s="32">
        <f>IFERROR(__xludf.DUMMYFUNCTION("""COMPUTED_VALUE"""),2.0255155E7)</f>
        <v>20255155</v>
      </c>
      <c r="B31" s="32" t="str">
        <f>IFERROR(__xludf.DUMMYFUNCTION("""COMPUTED_VALUE"""),"Ray Kiser")</f>
        <v>Ray Kiser</v>
      </c>
      <c r="C31" s="32" t="b">
        <f>IFERROR(__xludf.DUMMYFUNCTION("""COMPUTED_VALUE"""),TRUE)</f>
        <v>1</v>
      </c>
      <c r="D31" s="33">
        <f>IFERROR(__xludf.DUMMYFUNCTION("""COMPUTED_VALUE"""),0.5172621869746994)</f>
        <v>0.517262187</v>
      </c>
      <c r="E31" s="34">
        <f>IFERROR(__xludf.DUMMYFUNCTION("""COMPUTED_VALUE"""),4640.0)</f>
        <v>4640</v>
      </c>
      <c r="F31" s="34">
        <f>IFERROR(__xludf.DUMMYFUNCTION("""COMPUTED_VALUE"""),0.1999999999998181)</f>
        <v>0.2</v>
      </c>
      <c r="G31" s="34">
        <f>IFERROR(__xludf.DUMMYFUNCTION("""COMPUTED_VALUE"""),4640.2)</f>
        <v>4640.2</v>
      </c>
      <c r="H31" s="34">
        <f>IFERROR(__xludf.DUMMYFUNCTION("""COMPUTED_VALUE"""),4640.2)</f>
        <v>4640.2</v>
      </c>
      <c r="I31" s="40">
        <f>IFERROR(__xludf.DUMMYFUNCTION("""COMPUTED_VALUE"""),232.01)</f>
        <v>232.01</v>
      </c>
      <c r="J31" s="34">
        <f>IFERROR(__xludf.DUMMYFUNCTION("""COMPUTED_VALUE"""),232.01)</f>
        <v>232.01</v>
      </c>
      <c r="K31" s="34">
        <f>IFERROR(__xludf.DUMMYFUNCTION("""COMPUTED_VALUE"""),0.0)</f>
        <v>0</v>
      </c>
      <c r="L31" s="32" t="b">
        <v>0</v>
      </c>
      <c r="M31" s="28"/>
    </row>
    <row r="32">
      <c r="A32" s="32">
        <f>IFERROR(__xludf.DUMMYFUNCTION("""COMPUTED_VALUE"""),2.0255163E7)</f>
        <v>20255163</v>
      </c>
      <c r="B32" s="32" t="str">
        <f>IFERROR(__xludf.DUMMYFUNCTION("""COMPUTED_VALUE"""),"Jason Poling")</f>
        <v>Jason Poling</v>
      </c>
      <c r="C32" s="32" t="b">
        <f>IFERROR(__xludf.DUMMYFUNCTION("""COMPUTED_VALUE"""),TRUE)</f>
        <v>1</v>
      </c>
      <c r="D32" s="39">
        <f>IFERROR(__xludf.DUMMYFUNCTION("""COMPUTED_VALUE"""),0.2155112107623318)</f>
        <v>0.2155112108</v>
      </c>
      <c r="E32" s="34">
        <f>IFERROR(__xludf.DUMMYFUNCTION("""COMPUTED_VALUE"""),2980.0)</f>
        <v>2980</v>
      </c>
      <c r="F32" s="34">
        <f>IFERROR(__xludf.DUMMYFUNCTION("""COMPUTED_VALUE"""),-750.0)</f>
        <v>-750</v>
      </c>
      <c r="G32" s="34">
        <f>IFERROR(__xludf.DUMMYFUNCTION("""COMPUTED_VALUE"""),2230.0)</f>
        <v>2230</v>
      </c>
      <c r="H32" s="34">
        <f>IFERROR(__xludf.DUMMYFUNCTION("""COMPUTED_VALUE"""),2230.0)</f>
        <v>2230</v>
      </c>
      <c r="I32" s="40">
        <f>IFERROR(__xludf.DUMMYFUNCTION("""COMPUTED_VALUE"""),111.5)</f>
        <v>111.5</v>
      </c>
      <c r="J32" s="34">
        <f>IFERROR(__xludf.DUMMYFUNCTION("""COMPUTED_VALUE"""),111.5)</f>
        <v>111.5</v>
      </c>
      <c r="K32" s="36">
        <f>IFERROR(__xludf.DUMMYFUNCTION("""COMPUTED_VALUE"""),0.0)</f>
        <v>0</v>
      </c>
      <c r="L32" s="37" t="b">
        <v>0</v>
      </c>
      <c r="M32" s="28"/>
    </row>
    <row r="33">
      <c r="A33" s="32">
        <f>IFERROR(__xludf.DUMMYFUNCTION("""COMPUTED_VALUE"""),2.0255165E7)</f>
        <v>20255165</v>
      </c>
      <c r="B33" s="32" t="str">
        <f>IFERROR(__xludf.DUMMYFUNCTION("""COMPUTED_VALUE"""),"Jennifer Pett")</f>
        <v>Jennifer Pett</v>
      </c>
      <c r="C33" s="32" t="b">
        <f>IFERROR(__xludf.DUMMYFUNCTION("""COMPUTED_VALUE"""),TRUE)</f>
        <v>1</v>
      </c>
      <c r="D33" s="33">
        <f>IFERROR(__xludf.DUMMYFUNCTION("""COMPUTED_VALUE"""),0.4031495302589049)</f>
        <v>0.4031495303</v>
      </c>
      <c r="E33" s="34">
        <f>IFERROR(__xludf.DUMMYFUNCTION("""COMPUTED_VALUE"""),24437.93)</f>
        <v>24437.93</v>
      </c>
      <c r="F33" s="34">
        <f>IFERROR(__xludf.DUMMYFUNCTION("""COMPUTED_VALUE"""),0.0)</f>
        <v>0</v>
      </c>
      <c r="G33" s="34">
        <f>IFERROR(__xludf.DUMMYFUNCTION("""COMPUTED_VALUE"""),24437.93)</f>
        <v>24437.93</v>
      </c>
      <c r="H33" s="34">
        <f>IFERROR(__xludf.DUMMYFUNCTION("""COMPUTED_VALUE"""),24437.93)</f>
        <v>24437.93</v>
      </c>
      <c r="I33" s="40">
        <f>IFERROR(__xludf.DUMMYFUNCTION("""COMPUTED_VALUE"""),1221.8965)</f>
        <v>1221.8965</v>
      </c>
      <c r="J33" s="34">
        <f>IFERROR(__xludf.DUMMYFUNCTION("""COMPUTED_VALUE"""),1221.9)</f>
        <v>1221.9</v>
      </c>
      <c r="K33" s="34">
        <f>IFERROR(__xludf.DUMMYFUNCTION("""COMPUTED_VALUE"""),0.0)</f>
        <v>0</v>
      </c>
      <c r="L33" s="32" t="b">
        <v>0</v>
      </c>
      <c r="M33" s="28"/>
    </row>
    <row r="34">
      <c r="A34" s="32">
        <f>IFERROR(__xludf.DUMMYFUNCTION("""COMPUTED_VALUE"""),2.0255166E7)</f>
        <v>20255166</v>
      </c>
      <c r="B34" s="32" t="str">
        <f>IFERROR(__xludf.DUMMYFUNCTION("""COMPUTED_VALUE"""),"Gary Shoup")</f>
        <v>Gary Shoup</v>
      </c>
      <c r="C34" s="32" t="b">
        <f>IFERROR(__xludf.DUMMYFUNCTION("""COMPUTED_VALUE"""),TRUE)</f>
        <v>1</v>
      </c>
      <c r="D34" s="33">
        <f>IFERROR(__xludf.DUMMYFUNCTION("""COMPUTED_VALUE"""),0.39418813634546007)</f>
        <v>0.3941881363</v>
      </c>
      <c r="E34" s="34">
        <f>IFERROR(__xludf.DUMMYFUNCTION("""COMPUTED_VALUE"""),15929.83)</f>
        <v>15929.83</v>
      </c>
      <c r="F34" s="34">
        <f>IFERROR(__xludf.DUMMYFUNCTION("""COMPUTED_VALUE"""),0.0)</f>
        <v>0</v>
      </c>
      <c r="G34" s="34">
        <f>IFERROR(__xludf.DUMMYFUNCTION("""COMPUTED_VALUE"""),15929.83)</f>
        <v>15929.83</v>
      </c>
      <c r="H34" s="34">
        <f>IFERROR(__xludf.DUMMYFUNCTION("""COMPUTED_VALUE"""),15929.83)</f>
        <v>15929.83</v>
      </c>
      <c r="I34" s="40">
        <f>IFERROR(__xludf.DUMMYFUNCTION("""COMPUTED_VALUE"""),796.4915000000001)</f>
        <v>796.4915</v>
      </c>
      <c r="J34" s="34">
        <f>IFERROR(__xludf.DUMMYFUNCTION("""COMPUTED_VALUE"""),796.49)</f>
        <v>796.49</v>
      </c>
      <c r="K34" s="34">
        <f>IFERROR(__xludf.DUMMYFUNCTION("""COMPUTED_VALUE"""),0.0)</f>
        <v>0</v>
      </c>
      <c r="L34" s="37" t="b">
        <v>0</v>
      </c>
      <c r="M34" s="28"/>
    </row>
    <row r="35">
      <c r="A35" s="32">
        <f>IFERROR(__xludf.DUMMYFUNCTION("""COMPUTED_VALUE"""),2.0255167E7)</f>
        <v>20255167</v>
      </c>
      <c r="B35" s="32" t="str">
        <f>IFERROR(__xludf.DUMMYFUNCTION("""COMPUTED_VALUE"""),"Daniel Reed")</f>
        <v>Daniel Reed</v>
      </c>
      <c r="C35" s="32" t="b">
        <f>IFERROR(__xludf.DUMMYFUNCTION("""COMPUTED_VALUE"""),TRUE)</f>
        <v>1</v>
      </c>
      <c r="D35" s="39">
        <f>IFERROR(__xludf.DUMMYFUNCTION("""COMPUTED_VALUE"""),0.2968007107362172)</f>
        <v>0.2968007107</v>
      </c>
      <c r="E35" s="34">
        <f>IFERROR(__xludf.DUMMYFUNCTION("""COMPUTED_VALUE"""),6145.74)</f>
        <v>6145.74</v>
      </c>
      <c r="F35" s="34">
        <f>IFERROR(__xludf.DUMMYFUNCTION("""COMPUTED_VALUE"""),0.0)</f>
        <v>0</v>
      </c>
      <c r="G35" s="34">
        <f>IFERROR(__xludf.DUMMYFUNCTION("""COMPUTED_VALUE"""),6145.74)</f>
        <v>6145.74</v>
      </c>
      <c r="H35" s="34">
        <f>IFERROR(__xludf.DUMMYFUNCTION("""COMPUTED_VALUE"""),6145.74)</f>
        <v>6145.74</v>
      </c>
      <c r="I35" s="40">
        <f>IFERROR(__xludf.DUMMYFUNCTION("""COMPUTED_VALUE"""),307.28700000000003)</f>
        <v>307.287</v>
      </c>
      <c r="J35" s="34">
        <f>IFERROR(__xludf.DUMMYFUNCTION("""COMPUTED_VALUE"""),307.29)</f>
        <v>307.29</v>
      </c>
      <c r="K35" s="34">
        <f>IFERROR(__xludf.DUMMYFUNCTION("""COMPUTED_VALUE"""),0.0)</f>
        <v>0</v>
      </c>
      <c r="L35" s="32" t="b">
        <v>0</v>
      </c>
      <c r="M35" s="38"/>
    </row>
    <row r="36">
      <c r="A36" s="32">
        <f>IFERROR(__xludf.DUMMYFUNCTION("""COMPUTED_VALUE"""),2.0255168E7)</f>
        <v>20255168</v>
      </c>
      <c r="B36" s="32" t="str">
        <f>IFERROR(__xludf.DUMMYFUNCTION("""COMPUTED_VALUE"""),"Dave Koukol")</f>
        <v>Dave Koukol</v>
      </c>
      <c r="C36" s="32" t="b">
        <f>IFERROR(__xludf.DUMMYFUNCTION("""COMPUTED_VALUE"""),TRUE)</f>
        <v>1</v>
      </c>
      <c r="D36" s="33">
        <f>IFERROR(__xludf.DUMMYFUNCTION("""COMPUTED_VALUE"""),0.7448922624877572)</f>
        <v>0.7448922625</v>
      </c>
      <c r="E36" s="34">
        <f>IFERROR(__xludf.DUMMYFUNCTION("""COMPUTED_VALUE"""),2042.0)</f>
        <v>2042</v>
      </c>
      <c r="F36" s="34">
        <f>IFERROR(__xludf.DUMMYFUNCTION("""COMPUTED_VALUE"""),0.0)</f>
        <v>0</v>
      </c>
      <c r="G36" s="34">
        <f>IFERROR(__xludf.DUMMYFUNCTION("""COMPUTED_VALUE"""),2042.0)</f>
        <v>2042</v>
      </c>
      <c r="H36" s="34">
        <f>IFERROR(__xludf.DUMMYFUNCTION("""COMPUTED_VALUE"""),2042.0)</f>
        <v>2042</v>
      </c>
      <c r="I36" s="40">
        <f>IFERROR(__xludf.DUMMYFUNCTION("""COMPUTED_VALUE"""),102.10000000000001)</f>
        <v>102.1</v>
      </c>
      <c r="J36" s="34">
        <f>IFERROR(__xludf.DUMMYFUNCTION("""COMPUTED_VALUE"""),102.1)</f>
        <v>102.1</v>
      </c>
      <c r="K36" s="34">
        <f>IFERROR(__xludf.DUMMYFUNCTION("""COMPUTED_VALUE"""),0.0)</f>
        <v>0</v>
      </c>
      <c r="L36" s="37" t="b">
        <v>0</v>
      </c>
      <c r="M36" s="28"/>
    </row>
    <row r="37">
      <c r="A37" s="32">
        <f>IFERROR(__xludf.DUMMYFUNCTION("""COMPUTED_VALUE"""),2.0255177E7)</f>
        <v>20255177</v>
      </c>
      <c r="B37" s="32" t="str">
        <f>IFERROR(__xludf.DUMMYFUNCTION("""COMPUTED_VALUE"""),"Daron Brown")</f>
        <v>Daron Brown</v>
      </c>
      <c r="C37" s="32" t="b">
        <f>IFERROR(__xludf.DUMMYFUNCTION("""COMPUTED_VALUE"""),TRUE)</f>
        <v>1</v>
      </c>
      <c r="D37" s="33">
        <f>IFERROR(__xludf.DUMMYFUNCTION("""COMPUTED_VALUE"""),0.3499223904787732)</f>
        <v>0.3499223905</v>
      </c>
      <c r="E37" s="34">
        <f>IFERROR(__xludf.DUMMYFUNCTION("""COMPUTED_VALUE"""),9476.93)</f>
        <v>9476.93</v>
      </c>
      <c r="F37" s="34">
        <f>IFERROR(__xludf.DUMMYFUNCTION("""COMPUTED_VALUE"""),0.0)</f>
        <v>0</v>
      </c>
      <c r="G37" s="34">
        <f>IFERROR(__xludf.DUMMYFUNCTION("""COMPUTED_VALUE"""),9476.93)</f>
        <v>9476.93</v>
      </c>
      <c r="H37" s="34">
        <f>IFERROR(__xludf.DUMMYFUNCTION("""COMPUTED_VALUE"""),9476.93)</f>
        <v>9476.93</v>
      </c>
      <c r="I37" s="40">
        <f>IFERROR(__xludf.DUMMYFUNCTION("""COMPUTED_VALUE"""),473.84650000000005)</f>
        <v>473.8465</v>
      </c>
      <c r="J37" s="34">
        <f>IFERROR(__xludf.DUMMYFUNCTION("""COMPUTED_VALUE"""),0.0)</f>
        <v>0</v>
      </c>
      <c r="K37" s="34">
        <f>IFERROR(__xludf.DUMMYFUNCTION("""COMPUTED_VALUE"""),0.0)</f>
        <v>0</v>
      </c>
      <c r="L37" s="37" t="b">
        <v>0</v>
      </c>
      <c r="M37" s="28"/>
    </row>
    <row r="38">
      <c r="A38" s="32">
        <f>IFERROR(__xludf.DUMMYFUNCTION("""COMPUTED_VALUE"""),2.0255179E7)</f>
        <v>20255179</v>
      </c>
      <c r="B38" s="32" t="str">
        <f>IFERROR(__xludf.DUMMYFUNCTION("""COMPUTED_VALUE"""),"Ryan Walker")</f>
        <v>Ryan Walker</v>
      </c>
      <c r="C38" s="32" t="b">
        <f>IFERROR(__xludf.DUMMYFUNCTION("""COMPUTED_VALUE"""),TRUE)</f>
        <v>1</v>
      </c>
      <c r="D38" s="33">
        <f>IFERROR(__xludf.DUMMYFUNCTION("""COMPUTED_VALUE"""),0.49049642502735297)</f>
        <v>0.490496425</v>
      </c>
      <c r="E38" s="34">
        <f>IFERROR(__xludf.DUMMYFUNCTION("""COMPUTED_VALUE"""),20025.57)</f>
        <v>20025.57</v>
      </c>
      <c r="F38" s="34">
        <f>IFERROR(__xludf.DUMMYFUNCTION("""COMPUTED_VALUE"""),2376.0)</f>
        <v>2376</v>
      </c>
      <c r="G38" s="34">
        <f>IFERROR(__xludf.DUMMYFUNCTION("""COMPUTED_VALUE"""),22401.57)</f>
        <v>22401.57</v>
      </c>
      <c r="H38" s="34">
        <f>IFERROR(__xludf.DUMMYFUNCTION("""COMPUTED_VALUE"""),22401.57)</f>
        <v>22401.57</v>
      </c>
      <c r="I38" s="40">
        <f>IFERROR(__xludf.DUMMYFUNCTION("""COMPUTED_VALUE"""),1120.0785)</f>
        <v>1120.0785</v>
      </c>
      <c r="J38" s="34">
        <f>IFERROR(__xludf.DUMMYFUNCTION("""COMPUTED_VALUE"""),1120.08)</f>
        <v>1120.08</v>
      </c>
      <c r="K38" s="34">
        <f>IFERROR(__xludf.DUMMYFUNCTION("""COMPUTED_VALUE"""),0.0)</f>
        <v>0</v>
      </c>
      <c r="L38" s="37" t="b">
        <v>0</v>
      </c>
      <c r="M38" s="28"/>
    </row>
    <row r="39">
      <c r="A39" s="32">
        <f>IFERROR(__xludf.DUMMYFUNCTION("""COMPUTED_VALUE"""),2.0255185E7)</f>
        <v>20255185</v>
      </c>
      <c r="B39" s="32" t="str">
        <f>IFERROR(__xludf.DUMMYFUNCTION("""COMPUTED_VALUE"""),"Dayton Dreamcenter")</f>
        <v>Dayton Dreamcenter</v>
      </c>
      <c r="C39" s="32" t="b">
        <f>IFERROR(__xludf.DUMMYFUNCTION("""COMPUTED_VALUE"""),TRUE)</f>
        <v>1</v>
      </c>
      <c r="D39" s="33">
        <f>IFERROR(__xludf.DUMMYFUNCTION("""COMPUTED_VALUE"""),0.37700549818017975)</f>
        <v>0.3770054982</v>
      </c>
      <c r="E39" s="34">
        <f>IFERROR(__xludf.DUMMYFUNCTION("""COMPUTED_VALUE"""),1200.0)</f>
        <v>1200</v>
      </c>
      <c r="F39" s="34">
        <f>IFERROR(__xludf.DUMMYFUNCTION("""COMPUTED_VALUE"""),1640.94)</f>
        <v>1640.94</v>
      </c>
      <c r="G39" s="34">
        <f>IFERROR(__xludf.DUMMYFUNCTION("""COMPUTED_VALUE"""),2840.94)</f>
        <v>2840.94</v>
      </c>
      <c r="H39" s="34">
        <f>IFERROR(__xludf.DUMMYFUNCTION("""COMPUTED_VALUE"""),2840.94)</f>
        <v>2840.94</v>
      </c>
      <c r="I39" s="40">
        <f>IFERROR(__xludf.DUMMYFUNCTION("""COMPUTED_VALUE"""),142.047)</f>
        <v>142.047</v>
      </c>
      <c r="J39" s="34">
        <f>IFERROR(__xludf.DUMMYFUNCTION("""COMPUTED_VALUE"""),142.05)</f>
        <v>142.05</v>
      </c>
      <c r="K39" s="34">
        <f>IFERROR(__xludf.DUMMYFUNCTION("""COMPUTED_VALUE"""),0.0)</f>
        <v>0</v>
      </c>
      <c r="L39" s="37" t="b">
        <v>0</v>
      </c>
      <c r="M39" s="28"/>
    </row>
    <row r="40">
      <c r="A40" s="32">
        <f>IFERROR(__xludf.DUMMYFUNCTION("""COMPUTED_VALUE"""),2.0255186E7)</f>
        <v>20255186</v>
      </c>
      <c r="B40" s="32" t="str">
        <f>IFERROR(__xludf.DUMMYFUNCTION("""COMPUTED_VALUE"""),"Ben Shawley")</f>
        <v>Ben Shawley</v>
      </c>
      <c r="C40" s="32" t="b">
        <f>IFERROR(__xludf.DUMMYFUNCTION("""COMPUTED_VALUE"""),TRUE)</f>
        <v>1</v>
      </c>
      <c r="D40" s="33">
        <f>IFERROR(__xludf.DUMMYFUNCTION("""COMPUTED_VALUE"""),0.41560218435339885)</f>
        <v>0.4156021844</v>
      </c>
      <c r="E40" s="34">
        <f>IFERROR(__xludf.DUMMYFUNCTION("""COMPUTED_VALUE"""),15129.42)</f>
        <v>15129.42</v>
      </c>
      <c r="F40" s="34">
        <f>IFERROR(__xludf.DUMMYFUNCTION("""COMPUTED_VALUE"""),0.0)</f>
        <v>0</v>
      </c>
      <c r="G40" s="34">
        <f>IFERROR(__xludf.DUMMYFUNCTION("""COMPUTED_VALUE"""),15129.42)</f>
        <v>15129.42</v>
      </c>
      <c r="H40" s="34">
        <f>IFERROR(__xludf.DUMMYFUNCTION("""COMPUTED_VALUE"""),15129.42)</f>
        <v>15129.42</v>
      </c>
      <c r="I40" s="40">
        <f>IFERROR(__xludf.DUMMYFUNCTION("""COMPUTED_VALUE"""),756.471)</f>
        <v>756.471</v>
      </c>
      <c r="J40" s="34">
        <f>IFERROR(__xludf.DUMMYFUNCTION("""COMPUTED_VALUE"""),756.47)</f>
        <v>756.47</v>
      </c>
      <c r="K40" s="34">
        <f>IFERROR(__xludf.DUMMYFUNCTION("""COMPUTED_VALUE"""),0.0)</f>
        <v>0</v>
      </c>
      <c r="L40" s="37" t="b">
        <v>0</v>
      </c>
      <c r="M40" s="28"/>
    </row>
    <row r="41">
      <c r="A41" s="32">
        <f>IFERROR(__xludf.DUMMYFUNCTION("""COMPUTED_VALUE"""),2.0255195E7)</f>
        <v>20255195</v>
      </c>
      <c r="B41" s="32" t="str">
        <f>IFERROR(__xludf.DUMMYFUNCTION("""COMPUTED_VALUE"""),"Nancy Avila")</f>
        <v>Nancy Avila</v>
      </c>
      <c r="C41" s="32" t="b">
        <f>IFERROR(__xludf.DUMMYFUNCTION("""COMPUTED_VALUE"""),TRUE)</f>
        <v>1</v>
      </c>
      <c r="D41" s="33">
        <f>IFERROR(__xludf.DUMMYFUNCTION("""COMPUTED_VALUE"""),0.6717820512820513)</f>
        <v>0.6717820513</v>
      </c>
      <c r="E41" s="34">
        <f>IFERROR(__xludf.DUMMYFUNCTION("""COMPUTED_VALUE"""),780.0)</f>
        <v>780</v>
      </c>
      <c r="F41" s="34">
        <f>IFERROR(__xludf.DUMMYFUNCTION("""COMPUTED_VALUE"""),0.0)</f>
        <v>0</v>
      </c>
      <c r="G41" s="34">
        <f>IFERROR(__xludf.DUMMYFUNCTION("""COMPUTED_VALUE"""),780.0)</f>
        <v>780</v>
      </c>
      <c r="H41" s="34">
        <f>IFERROR(__xludf.DUMMYFUNCTION("""COMPUTED_VALUE"""),780.0)</f>
        <v>780</v>
      </c>
      <c r="I41" s="40">
        <f>IFERROR(__xludf.DUMMYFUNCTION("""COMPUTED_VALUE"""),39.0)</f>
        <v>39</v>
      </c>
      <c r="J41" s="34">
        <f>IFERROR(__xludf.DUMMYFUNCTION("""COMPUTED_VALUE"""),0.0)</f>
        <v>0</v>
      </c>
      <c r="K41" s="34">
        <f>IFERROR(__xludf.DUMMYFUNCTION("""COMPUTED_VALUE"""),0.0)</f>
        <v>0</v>
      </c>
      <c r="L41" s="37" t="b">
        <v>0</v>
      </c>
      <c r="M41" s="28"/>
    </row>
    <row r="42">
      <c r="A42" s="32">
        <f>IFERROR(__xludf.DUMMYFUNCTION("""COMPUTED_VALUE"""),2.0255198E7)</f>
        <v>20255198</v>
      </c>
      <c r="B42" s="32" t="str">
        <f>IFERROR(__xludf.DUMMYFUNCTION("""COMPUTED_VALUE"""),"Dave Linnenkohl - Daughter's House")</f>
        <v>Dave Linnenkohl - Daughter's House</v>
      </c>
      <c r="C42" s="32" t="b">
        <f>IFERROR(__xludf.DUMMYFUNCTION("""COMPUTED_VALUE"""),TRUE)</f>
        <v>1</v>
      </c>
      <c r="D42" s="33">
        <f>IFERROR(__xludf.DUMMYFUNCTION("""COMPUTED_VALUE"""),0.4972210151530019)</f>
        <v>0.4972210152</v>
      </c>
      <c r="E42" s="34">
        <f>IFERROR(__xludf.DUMMYFUNCTION("""COMPUTED_VALUE"""),8565.68)</f>
        <v>8565.68</v>
      </c>
      <c r="F42" s="34">
        <f>IFERROR(__xludf.DUMMYFUNCTION("""COMPUTED_VALUE"""),-5.0)</f>
        <v>-5</v>
      </c>
      <c r="G42" s="34">
        <f>IFERROR(__xludf.DUMMYFUNCTION("""COMPUTED_VALUE"""),8565.68)</f>
        <v>8565.68</v>
      </c>
      <c r="H42" s="34">
        <f>IFERROR(__xludf.DUMMYFUNCTION("""COMPUTED_VALUE"""),8560.68)</f>
        <v>8560.68</v>
      </c>
      <c r="I42" s="40">
        <f>IFERROR(__xludf.DUMMYFUNCTION("""COMPUTED_VALUE"""),428.03400000000005)</f>
        <v>428.034</v>
      </c>
      <c r="J42" s="34">
        <f>IFERROR(__xludf.DUMMYFUNCTION("""COMPUTED_VALUE"""),428.03)</f>
        <v>428.03</v>
      </c>
      <c r="K42" s="34">
        <f>IFERROR(__xludf.DUMMYFUNCTION("""COMPUTED_VALUE"""),0.0)</f>
        <v>0</v>
      </c>
      <c r="L42" s="37" t="b">
        <v>0</v>
      </c>
      <c r="M42" s="28"/>
    </row>
    <row r="43">
      <c r="A43" s="32">
        <f>IFERROR(__xludf.DUMMYFUNCTION("""COMPUTED_VALUE"""),2.0255202E7)</f>
        <v>20255202</v>
      </c>
      <c r="B43" s="32" t="str">
        <f>IFERROR(__xludf.DUMMYFUNCTION("""COMPUTED_VALUE"""),"Dayton Dreamcenter")</f>
        <v>Dayton Dreamcenter</v>
      </c>
      <c r="C43" s="32" t="b">
        <f>IFERROR(__xludf.DUMMYFUNCTION("""COMPUTED_VALUE"""),TRUE)</f>
        <v>1</v>
      </c>
      <c r="D43" s="33">
        <f>IFERROR(__xludf.DUMMYFUNCTION("""COMPUTED_VALUE"""),0.6299638989169675)</f>
        <v>0.6299638989</v>
      </c>
      <c r="E43" s="34">
        <f>IFERROR(__xludf.DUMMYFUNCTION("""COMPUTED_VALUE"""),5540.0)</f>
        <v>5540</v>
      </c>
      <c r="F43" s="34">
        <f>IFERROR(__xludf.DUMMYFUNCTION("""COMPUTED_VALUE"""),0.0)</f>
        <v>0</v>
      </c>
      <c r="G43" s="34">
        <f>IFERROR(__xludf.DUMMYFUNCTION("""COMPUTED_VALUE"""),5540.0)</f>
        <v>5540</v>
      </c>
      <c r="H43" s="34">
        <f>IFERROR(__xludf.DUMMYFUNCTION("""COMPUTED_VALUE"""),5540.0)</f>
        <v>5540</v>
      </c>
      <c r="I43" s="40">
        <f>IFERROR(__xludf.DUMMYFUNCTION("""COMPUTED_VALUE"""),277.0)</f>
        <v>277</v>
      </c>
      <c r="J43" s="34">
        <f>IFERROR(__xludf.DUMMYFUNCTION("""COMPUTED_VALUE"""),277.0)</f>
        <v>277</v>
      </c>
      <c r="K43" s="34">
        <f>IFERROR(__xludf.DUMMYFUNCTION("""COMPUTED_VALUE"""),0.0)</f>
        <v>0</v>
      </c>
      <c r="L43" s="37" t="b">
        <v>0</v>
      </c>
      <c r="M43" s="28"/>
    </row>
    <row r="44">
      <c r="A44" s="32">
        <f>IFERROR(__xludf.DUMMYFUNCTION("""COMPUTED_VALUE"""),2.0255204E7)</f>
        <v>20255204</v>
      </c>
      <c r="B44" s="32" t="str">
        <f>IFERROR(__xludf.DUMMYFUNCTION("""COMPUTED_VALUE"""),"Dee Scherer")</f>
        <v>Dee Scherer</v>
      </c>
      <c r="C44" s="32" t="b">
        <f>IFERROR(__xludf.DUMMYFUNCTION("""COMPUTED_VALUE"""),TRUE)</f>
        <v>1</v>
      </c>
      <c r="D44" s="33">
        <f>IFERROR(__xludf.DUMMYFUNCTION("""COMPUTED_VALUE"""),0.7619047619047619)</f>
        <v>0.7619047619</v>
      </c>
      <c r="E44" s="34">
        <f>IFERROR(__xludf.DUMMYFUNCTION("""COMPUTED_VALUE"""),2520.0)</f>
        <v>2520</v>
      </c>
      <c r="F44" s="34">
        <f>IFERROR(__xludf.DUMMYFUNCTION("""COMPUTED_VALUE"""),0.0)</f>
        <v>0</v>
      </c>
      <c r="G44" s="34">
        <f>IFERROR(__xludf.DUMMYFUNCTION("""COMPUTED_VALUE"""),2520.0)</f>
        <v>2520</v>
      </c>
      <c r="H44" s="34">
        <f>IFERROR(__xludf.DUMMYFUNCTION("""COMPUTED_VALUE"""),2520.0)</f>
        <v>2520</v>
      </c>
      <c r="I44" s="40">
        <f>IFERROR(__xludf.DUMMYFUNCTION("""COMPUTED_VALUE"""),126.0)</f>
        <v>126</v>
      </c>
      <c r="J44" s="34">
        <f>IFERROR(__xludf.DUMMYFUNCTION("""COMPUTED_VALUE"""),0.0)</f>
        <v>0</v>
      </c>
      <c r="K44" s="34">
        <f>IFERROR(__xludf.DUMMYFUNCTION("""COMPUTED_VALUE"""),0.0)</f>
        <v>0</v>
      </c>
      <c r="L44" s="37" t="b">
        <v>0</v>
      </c>
      <c r="M44" s="28"/>
    </row>
    <row r="45">
      <c r="A45" s="32">
        <f>IFERROR(__xludf.DUMMYFUNCTION("""COMPUTED_VALUE"""),2.0255212E7)</f>
        <v>20255212</v>
      </c>
      <c r="B45" s="32" t="str">
        <f>IFERROR(__xludf.DUMMYFUNCTION("""COMPUTED_VALUE"""),"Eric Campbell")</f>
        <v>Eric Campbell</v>
      </c>
      <c r="C45" s="32" t="b">
        <f>IFERROR(__xludf.DUMMYFUNCTION("""COMPUTED_VALUE"""),TRUE)</f>
        <v>1</v>
      </c>
      <c r="D45" s="33">
        <f>IFERROR(__xludf.DUMMYFUNCTION("""COMPUTED_VALUE"""),0.5347657316148597)</f>
        <v>0.5347657316</v>
      </c>
      <c r="E45" s="34">
        <f>IFERROR(__xludf.DUMMYFUNCTION("""COMPUTED_VALUE"""),3297.5)</f>
        <v>3297.5</v>
      </c>
      <c r="F45" s="34">
        <f>IFERROR(__xludf.DUMMYFUNCTION("""COMPUTED_VALUE"""),0.0)</f>
        <v>0</v>
      </c>
      <c r="G45" s="34">
        <f>IFERROR(__xludf.DUMMYFUNCTION("""COMPUTED_VALUE"""),3297.5)</f>
        <v>3297.5</v>
      </c>
      <c r="H45" s="34">
        <f>IFERROR(__xludf.DUMMYFUNCTION("""COMPUTED_VALUE"""),3297.5)</f>
        <v>3297.5</v>
      </c>
      <c r="I45" s="40">
        <f>IFERROR(__xludf.DUMMYFUNCTION("""COMPUTED_VALUE"""),164.875)</f>
        <v>164.875</v>
      </c>
      <c r="J45" s="34">
        <f>IFERROR(__xludf.DUMMYFUNCTION("""COMPUTED_VALUE"""),0.0)</f>
        <v>0</v>
      </c>
      <c r="K45" s="34">
        <f>IFERROR(__xludf.DUMMYFUNCTION("""COMPUTED_VALUE"""),0.0)</f>
        <v>0</v>
      </c>
      <c r="L45" s="37" t="b">
        <v>0</v>
      </c>
      <c r="M45" s="28"/>
    </row>
    <row r="46">
      <c r="A46" s="32">
        <f>IFERROR(__xludf.DUMMYFUNCTION("""COMPUTED_VALUE"""),2.0255215E7)</f>
        <v>20255215</v>
      </c>
      <c r="B46" s="32" t="str">
        <f>IFERROR(__xludf.DUMMYFUNCTION("""COMPUTED_VALUE"""),"James King")</f>
        <v>James King</v>
      </c>
      <c r="C46" s="32" t="b">
        <f>IFERROR(__xludf.DUMMYFUNCTION("""COMPUTED_VALUE"""),TRUE)</f>
        <v>1</v>
      </c>
      <c r="D46" s="33">
        <f>IFERROR(__xludf.DUMMYFUNCTION("""COMPUTED_VALUE"""),0.4181192481988367)</f>
        <v>0.4181192482</v>
      </c>
      <c r="E46" s="34">
        <f>IFERROR(__xludf.DUMMYFUNCTION("""COMPUTED_VALUE"""),23742.61)</f>
        <v>23742.61</v>
      </c>
      <c r="F46" s="34">
        <f>IFERROR(__xludf.DUMMYFUNCTION("""COMPUTED_VALUE"""),919.2299999999996)</f>
        <v>919.23</v>
      </c>
      <c r="G46" s="34">
        <f>IFERROR(__xludf.DUMMYFUNCTION("""COMPUTED_VALUE"""),24761.84)</f>
        <v>24761.84</v>
      </c>
      <c r="H46" s="34">
        <f>IFERROR(__xludf.DUMMYFUNCTION("""COMPUTED_VALUE"""),24661.84)</f>
        <v>24661.84</v>
      </c>
      <c r="I46" s="40">
        <f>IFERROR(__xludf.DUMMYFUNCTION("""COMPUTED_VALUE"""),1233.092)</f>
        <v>1233.092</v>
      </c>
      <c r="J46" s="34">
        <f>IFERROR(__xludf.DUMMYFUNCTION("""COMPUTED_VALUE"""),0.0)</f>
        <v>0</v>
      </c>
      <c r="K46" s="34">
        <f>IFERROR(__xludf.DUMMYFUNCTION("""COMPUTED_VALUE"""),0.0)</f>
        <v>0</v>
      </c>
      <c r="L46" s="37" t="b">
        <v>0</v>
      </c>
      <c r="M46" s="28"/>
    </row>
    <row r="47">
      <c r="A47" s="28">
        <f>IFERROR(__xludf.DUMMYFUNCTION("""COMPUTED_VALUE"""),2.0255221E7)</f>
        <v>20255221</v>
      </c>
      <c r="B47" s="28" t="str">
        <f>IFERROR(__xludf.DUMMYFUNCTION("""COMPUTED_VALUE"""),"Ashley Ferguson")</f>
        <v>Ashley Ferguson</v>
      </c>
      <c r="C47" s="51" t="b">
        <f>IFERROR(__xludf.DUMMYFUNCTION("""COMPUTED_VALUE"""),FALSE)</f>
        <v>0</v>
      </c>
      <c r="D47" s="51" t="str">
        <f>IFERROR(__xludf.DUMMYFUNCTION("""COMPUTED_VALUE"""),"")</f>
        <v/>
      </c>
      <c r="E47" s="29">
        <f>IFERROR(__xludf.DUMMYFUNCTION("""COMPUTED_VALUE"""),3300.0)</f>
        <v>3300</v>
      </c>
      <c r="F47" s="29">
        <f>IFERROR(__xludf.DUMMYFUNCTION("""COMPUTED_VALUE"""),0.0)</f>
        <v>0</v>
      </c>
      <c r="G47" s="29">
        <f>IFERROR(__xludf.DUMMYFUNCTION("""COMPUTED_VALUE"""),0.0)</f>
        <v>0</v>
      </c>
      <c r="H47" s="29">
        <f>IFERROR(__xludf.DUMMYFUNCTION("""COMPUTED_VALUE"""),0.0)</f>
        <v>0</v>
      </c>
      <c r="I47" s="52">
        <f>IFERROR(__xludf.DUMMYFUNCTION("""COMPUTED_VALUE"""),165.0)</f>
        <v>165</v>
      </c>
      <c r="J47" s="29">
        <f>IFERROR(__xludf.DUMMYFUNCTION("""COMPUTED_VALUE"""),0.0)</f>
        <v>0</v>
      </c>
      <c r="K47" s="29">
        <f>IFERROR(__xludf.DUMMYFUNCTION("""COMPUTED_VALUE"""),0.0)</f>
        <v>0</v>
      </c>
      <c r="L47" s="28" t="b">
        <v>0</v>
      </c>
      <c r="M47" s="28"/>
    </row>
    <row r="48">
      <c r="A48" s="32">
        <f>IFERROR(__xludf.DUMMYFUNCTION("""COMPUTED_VALUE"""),2.0255222E7)</f>
        <v>20255222</v>
      </c>
      <c r="B48" s="32" t="str">
        <f>IFERROR(__xludf.DUMMYFUNCTION("""COMPUTED_VALUE"""),"INS - Eric &amp; Betty Mitchell")</f>
        <v>INS - Eric &amp; Betty Mitchell</v>
      </c>
      <c r="C48" s="32" t="b">
        <f>IFERROR(__xludf.DUMMYFUNCTION("""COMPUTED_VALUE"""),TRUE)</f>
        <v>1</v>
      </c>
      <c r="D48" s="33" t="str">
        <f>IFERROR(__xludf.DUMMYFUNCTION("""COMPUTED_VALUE"""),"")</f>
        <v/>
      </c>
      <c r="E48" s="34">
        <f>IFERROR(__xludf.DUMMYFUNCTION("""COMPUTED_VALUE"""),0.0)</f>
        <v>0</v>
      </c>
      <c r="F48" s="34">
        <f>IFERROR(__xludf.DUMMYFUNCTION("""COMPUTED_VALUE"""),0.0)</f>
        <v>0</v>
      </c>
      <c r="G48" s="34">
        <f>IFERROR(__xludf.DUMMYFUNCTION("""COMPUTED_VALUE"""),0.0)</f>
        <v>0</v>
      </c>
      <c r="H48" s="34">
        <f>IFERROR(__xludf.DUMMYFUNCTION("""COMPUTED_VALUE"""),0.0)</f>
        <v>0</v>
      </c>
      <c r="I48" s="40">
        <f>IFERROR(__xludf.DUMMYFUNCTION("""COMPUTED_VALUE"""),0.0)</f>
        <v>0</v>
      </c>
      <c r="J48" s="34">
        <f>IFERROR(__xludf.DUMMYFUNCTION("""COMPUTED_VALUE"""),0.0)</f>
        <v>0</v>
      </c>
      <c r="K48" s="34">
        <f>IFERROR(__xludf.DUMMYFUNCTION("""COMPUTED_VALUE"""),0.0)</f>
        <v>0</v>
      </c>
      <c r="L48" s="32" t="b">
        <v>0</v>
      </c>
      <c r="M48" s="28"/>
    </row>
    <row r="49">
      <c r="A49" s="32">
        <f>IFERROR(__xludf.DUMMYFUNCTION("""COMPUTED_VALUE"""),2.0255233E7)</f>
        <v>20255233</v>
      </c>
      <c r="B49" s="32" t="str">
        <f>IFERROR(__xludf.DUMMYFUNCTION("""COMPUTED_VALUE"""),"Tara Zimmer")</f>
        <v>Tara Zimmer</v>
      </c>
      <c r="C49" s="32" t="b">
        <f>IFERROR(__xludf.DUMMYFUNCTION("""COMPUTED_VALUE"""),TRUE)</f>
        <v>1</v>
      </c>
      <c r="D49" s="39">
        <f>IFERROR(__xludf.DUMMYFUNCTION("""COMPUTED_VALUE"""),0.2221921726267307)</f>
        <v>0.2221921726</v>
      </c>
      <c r="E49" s="34">
        <f>IFERROR(__xludf.DUMMYFUNCTION("""COMPUTED_VALUE"""),9761.64)</f>
        <v>9761.64</v>
      </c>
      <c r="F49" s="34">
        <f>IFERROR(__xludf.DUMMYFUNCTION("""COMPUTED_VALUE"""),0.0)</f>
        <v>0</v>
      </c>
      <c r="G49" s="34">
        <f>IFERROR(__xludf.DUMMYFUNCTION("""COMPUTED_VALUE"""),9761.64)</f>
        <v>9761.64</v>
      </c>
      <c r="H49" s="34">
        <f>IFERROR(__xludf.DUMMYFUNCTION("""COMPUTED_VALUE"""),9761.64)</f>
        <v>9761.64</v>
      </c>
      <c r="I49" s="40">
        <f>IFERROR(__xludf.DUMMYFUNCTION("""COMPUTED_VALUE"""),488.082)</f>
        <v>488.082</v>
      </c>
      <c r="J49" s="34">
        <f>IFERROR(__xludf.DUMMYFUNCTION("""COMPUTED_VALUE"""),0.0)</f>
        <v>0</v>
      </c>
      <c r="K49" s="34">
        <f>IFERROR(__xludf.DUMMYFUNCTION("""COMPUTED_VALUE"""),0.0)</f>
        <v>0</v>
      </c>
      <c r="L49" s="37" t="b">
        <v>0</v>
      </c>
      <c r="M49" s="28"/>
    </row>
    <row r="50">
      <c r="A50" s="28" t="str">
        <f>IFERROR(__xludf.DUMMYFUNCTION("""COMPUTED_VALUE"""),"Grand Total")</f>
        <v>Grand Total</v>
      </c>
      <c r="B50" s="28"/>
      <c r="C50" s="28"/>
      <c r="D50" s="28"/>
      <c r="E50" s="29">
        <f>IFERROR(__xludf.DUMMYFUNCTION("""COMPUTED_VALUE"""),567826.48)</f>
        <v>567826.48</v>
      </c>
      <c r="F50" s="29">
        <f>IFERROR(__xludf.DUMMYFUNCTION("""COMPUTED_VALUE"""),24435.850000000002)</f>
        <v>24435.85</v>
      </c>
      <c r="G50" s="29">
        <f>IFERROR(__xludf.DUMMYFUNCTION("""COMPUTED_VALUE"""),563414.27)</f>
        <v>563414.27</v>
      </c>
      <c r="H50" s="29">
        <f>IFERROR(__xludf.DUMMYFUNCTION("""COMPUTED_VALUE"""),575124.59)</f>
        <v>575124.59</v>
      </c>
      <c r="I50" s="52">
        <f>IFERROR(__xludf.DUMMYFUNCTION("""COMPUTED_VALUE"""),29613.1165)</f>
        <v>29613.1165</v>
      </c>
      <c r="J50" s="29">
        <f>IFERROR(__xludf.DUMMYFUNCTION("""COMPUTED_VALUE"""),0.0)</f>
        <v>0</v>
      </c>
      <c r="K50" s="29">
        <f>IFERROR(__xludf.DUMMYFUNCTION("""COMPUTED_VALUE"""),0.0)</f>
        <v>0</v>
      </c>
      <c r="L50" s="28" t="b">
        <v>0</v>
      </c>
      <c r="M50" s="28"/>
    </row>
    <row r="51">
      <c r="A51" s="28"/>
      <c r="B51" s="28"/>
      <c r="C51" s="28"/>
      <c r="D51" s="28"/>
      <c r="E51" s="28"/>
      <c r="F51" s="28"/>
      <c r="G51" s="28"/>
      <c r="H51" s="28"/>
      <c r="I51" s="53"/>
      <c r="J51" s="29">
        <f>IFERROR(__xludf.DUMMYFUNCTION("""COMPUTED_VALUE"""),0.0)</f>
        <v>0</v>
      </c>
      <c r="K51" s="29">
        <f>IFERROR(__xludf.DUMMYFUNCTION("""COMPUTED_VALUE"""),0.0)</f>
        <v>0</v>
      </c>
      <c r="L51" s="28" t="b">
        <v>0</v>
      </c>
      <c r="M51" s="28"/>
    </row>
    <row r="52">
      <c r="A52" s="28"/>
      <c r="B52" s="28"/>
      <c r="C52" s="28"/>
      <c r="D52" s="28"/>
      <c r="E52" s="28"/>
      <c r="F52" s="28"/>
      <c r="G52" s="28"/>
      <c r="H52" s="28"/>
      <c r="I52" s="53"/>
      <c r="J52" s="29">
        <f>IFERROR(__xludf.DUMMYFUNCTION("""COMPUTED_VALUE"""),0.0)</f>
        <v>0</v>
      </c>
      <c r="K52" s="29">
        <f>IFERROR(__xludf.DUMMYFUNCTION("""COMPUTED_VALUE"""),0.0)</f>
        <v>0</v>
      </c>
      <c r="L52" s="28" t="b">
        <v>0</v>
      </c>
      <c r="M52" s="28"/>
    </row>
    <row r="53">
      <c r="A53" s="28"/>
      <c r="B53" s="28"/>
      <c r="C53" s="28"/>
      <c r="D53" s="28"/>
      <c r="E53" s="28"/>
      <c r="F53" s="28"/>
      <c r="G53" s="28"/>
      <c r="H53" s="28"/>
      <c r="I53" s="53"/>
      <c r="J53" s="29">
        <f>IFERROR(__xludf.DUMMYFUNCTION("""COMPUTED_VALUE"""),0.0)</f>
        <v>0</v>
      </c>
      <c r="K53" s="29">
        <f>IFERROR(__xludf.DUMMYFUNCTION("""COMPUTED_VALUE"""),0.0)</f>
        <v>0</v>
      </c>
      <c r="L53" s="28" t="b">
        <v>0</v>
      </c>
      <c r="M53" s="28"/>
    </row>
    <row r="54">
      <c r="A54" s="28"/>
      <c r="B54" s="28"/>
      <c r="C54" s="28"/>
      <c r="D54" s="28"/>
      <c r="E54" s="28"/>
      <c r="F54" s="28"/>
      <c r="G54" s="28"/>
      <c r="H54" s="28"/>
      <c r="I54" s="53"/>
      <c r="J54" s="29">
        <f>IFERROR(__xludf.DUMMYFUNCTION("""COMPUTED_VALUE"""),0.0)</f>
        <v>0</v>
      </c>
      <c r="K54" s="29">
        <f>IFERROR(__xludf.DUMMYFUNCTION("""COMPUTED_VALUE"""),0.0)</f>
        <v>0</v>
      </c>
      <c r="L54" s="28" t="b">
        <v>0</v>
      </c>
      <c r="M54" s="28"/>
    </row>
    <row r="55">
      <c r="A55" s="28"/>
      <c r="B55" s="28"/>
      <c r="C55" s="28"/>
      <c r="D55" s="28"/>
      <c r="E55" s="28"/>
      <c r="F55" s="28"/>
      <c r="G55" s="28"/>
      <c r="H55" s="28"/>
      <c r="I55" s="53"/>
      <c r="J55" s="29">
        <f>IFERROR(__xludf.DUMMYFUNCTION("""COMPUTED_VALUE"""),0.0)</f>
        <v>0</v>
      </c>
      <c r="K55" s="29">
        <f>IFERROR(__xludf.DUMMYFUNCTION("""COMPUTED_VALUE"""),0.0)</f>
        <v>0</v>
      </c>
      <c r="L55" s="28" t="b">
        <v>0</v>
      </c>
      <c r="M55" s="28"/>
    </row>
    <row r="56">
      <c r="A56" s="28"/>
      <c r="B56" s="28"/>
      <c r="C56" s="28"/>
      <c r="D56" s="28"/>
      <c r="E56" s="28"/>
      <c r="F56" s="28"/>
      <c r="G56" s="28"/>
      <c r="H56" s="28"/>
      <c r="I56" s="53"/>
      <c r="J56" s="29">
        <f>IFERROR(__xludf.DUMMYFUNCTION("""COMPUTED_VALUE"""),0.0)</f>
        <v>0</v>
      </c>
      <c r="K56" s="29">
        <f>IFERROR(__xludf.DUMMYFUNCTION("""COMPUTED_VALUE"""),0.0)</f>
        <v>0</v>
      </c>
      <c r="L56" s="28" t="b">
        <v>0</v>
      </c>
      <c r="M56" s="28"/>
    </row>
    <row r="57">
      <c r="A57" s="28"/>
      <c r="B57" s="28"/>
      <c r="C57" s="28"/>
      <c r="D57" s="28"/>
      <c r="E57" s="28"/>
      <c r="F57" s="28"/>
      <c r="G57" s="28"/>
      <c r="H57" s="28"/>
      <c r="I57" s="53"/>
      <c r="J57" s="29">
        <f>IFERROR(__xludf.DUMMYFUNCTION("""COMPUTED_VALUE"""),0.0)</f>
        <v>0</v>
      </c>
      <c r="K57" s="29">
        <f>IFERROR(__xludf.DUMMYFUNCTION("""COMPUTED_VALUE"""),0.0)</f>
        <v>0</v>
      </c>
      <c r="L57" s="28" t="b">
        <v>0</v>
      </c>
      <c r="M57" s="28"/>
    </row>
    <row r="58">
      <c r="A58" s="28"/>
      <c r="B58" s="28"/>
      <c r="C58" s="28"/>
      <c r="D58" s="28"/>
      <c r="E58" s="28"/>
      <c r="F58" s="28"/>
      <c r="G58" s="28"/>
      <c r="H58" s="28"/>
      <c r="I58" s="53"/>
      <c r="J58" s="29">
        <f>IFERROR(__xludf.DUMMYFUNCTION("""COMPUTED_VALUE"""),0.0)</f>
        <v>0</v>
      </c>
      <c r="K58" s="29">
        <f>IFERROR(__xludf.DUMMYFUNCTION("""COMPUTED_VALUE"""),0.0)</f>
        <v>0</v>
      </c>
      <c r="L58" s="28" t="b">
        <v>0</v>
      </c>
      <c r="M58" s="28"/>
    </row>
    <row r="59">
      <c r="A59" s="28"/>
      <c r="B59" s="28"/>
      <c r="C59" s="28"/>
      <c r="D59" s="28"/>
      <c r="E59" s="28"/>
      <c r="F59" s="28"/>
      <c r="G59" s="28"/>
      <c r="H59" s="28"/>
      <c r="I59" s="53"/>
      <c r="J59" s="29">
        <f>IFERROR(__xludf.DUMMYFUNCTION("""COMPUTED_VALUE"""),0.0)</f>
        <v>0</v>
      </c>
      <c r="K59" s="29">
        <f>IFERROR(__xludf.DUMMYFUNCTION("""COMPUTED_VALUE"""),0.0)</f>
        <v>0</v>
      </c>
      <c r="L59" s="28" t="b">
        <v>0</v>
      </c>
      <c r="M59" s="28"/>
    </row>
    <row r="60">
      <c r="A60" s="28"/>
      <c r="B60" s="28"/>
      <c r="C60" s="28"/>
      <c r="D60" s="28"/>
      <c r="E60" s="28"/>
      <c r="F60" s="28"/>
      <c r="G60" s="28"/>
      <c r="H60" s="28"/>
      <c r="I60" s="53"/>
      <c r="J60" s="29">
        <f>IFERROR(__xludf.DUMMYFUNCTION("""COMPUTED_VALUE"""),0.0)</f>
        <v>0</v>
      </c>
      <c r="K60" s="29">
        <f>IFERROR(__xludf.DUMMYFUNCTION("""COMPUTED_VALUE"""),0.0)</f>
        <v>0</v>
      </c>
      <c r="L60" s="28" t="b">
        <v>0</v>
      </c>
      <c r="M60" s="28"/>
    </row>
    <row r="61">
      <c r="A61" s="28"/>
      <c r="B61" s="28"/>
      <c r="C61" s="28"/>
      <c r="D61" s="28"/>
      <c r="E61" s="28"/>
      <c r="F61" s="28"/>
      <c r="G61" s="28"/>
      <c r="H61" s="28"/>
      <c r="I61" s="53"/>
      <c r="J61" s="29">
        <f>IFERROR(__xludf.DUMMYFUNCTION("""COMPUTED_VALUE"""),0.0)</f>
        <v>0</v>
      </c>
      <c r="K61" s="29">
        <f>IFERROR(__xludf.DUMMYFUNCTION("""COMPUTED_VALUE"""),0.0)</f>
        <v>0</v>
      </c>
      <c r="L61" s="28" t="b">
        <v>0</v>
      </c>
      <c r="M61" s="28"/>
    </row>
    <row r="62">
      <c r="A62" s="28"/>
      <c r="B62" s="28"/>
      <c r="C62" s="28"/>
      <c r="D62" s="28"/>
      <c r="E62" s="28"/>
      <c r="F62" s="28"/>
      <c r="G62" s="28"/>
      <c r="H62" s="28"/>
      <c r="I62" s="53"/>
      <c r="J62" s="29">
        <f>IFERROR(__xludf.DUMMYFUNCTION("""COMPUTED_VALUE"""),0.0)</f>
        <v>0</v>
      </c>
      <c r="K62" s="29">
        <f>IFERROR(__xludf.DUMMYFUNCTION("""COMPUTED_VALUE"""),0.0)</f>
        <v>0</v>
      </c>
      <c r="L62" s="28" t="b">
        <v>0</v>
      </c>
      <c r="M62" s="28"/>
    </row>
    <row r="63">
      <c r="A63" s="28"/>
      <c r="B63" s="28"/>
      <c r="C63" s="28"/>
      <c r="D63" s="28"/>
      <c r="E63" s="28"/>
      <c r="F63" s="28"/>
      <c r="G63" s="28"/>
      <c r="H63" s="28"/>
      <c r="I63" s="53"/>
      <c r="J63" s="29">
        <f>IFERROR(__xludf.DUMMYFUNCTION("""COMPUTED_VALUE"""),0.0)</f>
        <v>0</v>
      </c>
      <c r="K63" s="29">
        <f>IFERROR(__xludf.DUMMYFUNCTION("""COMPUTED_VALUE"""),0.0)</f>
        <v>0</v>
      </c>
      <c r="L63" s="28" t="b">
        <v>0</v>
      </c>
      <c r="M63" s="28"/>
    </row>
    <row r="64">
      <c r="A64" s="28"/>
      <c r="B64" s="28"/>
      <c r="C64" s="28"/>
      <c r="D64" s="28"/>
      <c r="E64" s="28"/>
      <c r="F64" s="28"/>
      <c r="G64" s="28"/>
      <c r="H64" s="28"/>
      <c r="I64" s="53"/>
      <c r="J64" s="29">
        <f>IFERROR(__xludf.DUMMYFUNCTION("""COMPUTED_VALUE"""),0.0)</f>
        <v>0</v>
      </c>
      <c r="K64" s="29">
        <f>IFERROR(__xludf.DUMMYFUNCTION("""COMPUTED_VALUE"""),0.0)</f>
        <v>0</v>
      </c>
      <c r="L64" s="28" t="b">
        <v>0</v>
      </c>
      <c r="M64" s="28"/>
    </row>
    <row r="65">
      <c r="A65" s="28"/>
      <c r="B65" s="28"/>
      <c r="C65" s="28"/>
      <c r="D65" s="28"/>
      <c r="E65" s="28"/>
      <c r="F65" s="28"/>
      <c r="G65" s="28"/>
      <c r="H65" s="28"/>
      <c r="I65" s="53"/>
      <c r="J65" s="29">
        <f>IFERROR(__xludf.DUMMYFUNCTION("""COMPUTED_VALUE"""),0.0)</f>
        <v>0</v>
      </c>
      <c r="K65" s="29">
        <f>IFERROR(__xludf.DUMMYFUNCTION("""COMPUTED_VALUE"""),0.0)</f>
        <v>0</v>
      </c>
      <c r="L65" s="28" t="b">
        <v>0</v>
      </c>
      <c r="M65" s="28"/>
    </row>
    <row r="66">
      <c r="A66" s="28"/>
      <c r="B66" s="28"/>
      <c r="C66" s="28"/>
      <c r="D66" s="28"/>
      <c r="E66" s="28"/>
      <c r="F66" s="28"/>
      <c r="G66" s="28"/>
      <c r="H66" s="28"/>
      <c r="I66" s="53"/>
      <c r="J66" s="29">
        <f>IFERROR(__xludf.DUMMYFUNCTION("""COMPUTED_VALUE"""),0.0)</f>
        <v>0</v>
      </c>
      <c r="K66" s="29">
        <f>IFERROR(__xludf.DUMMYFUNCTION("""COMPUTED_VALUE"""),0.0)</f>
        <v>0</v>
      </c>
      <c r="L66" s="28" t="b">
        <v>0</v>
      </c>
      <c r="M66" s="28"/>
    </row>
    <row r="67">
      <c r="A67" s="28"/>
      <c r="B67" s="28"/>
      <c r="C67" s="28"/>
      <c r="D67" s="28"/>
      <c r="E67" s="28"/>
      <c r="F67" s="28"/>
      <c r="G67" s="28"/>
      <c r="H67" s="28"/>
      <c r="I67" s="53"/>
      <c r="J67" s="29">
        <f>IFERROR(__xludf.DUMMYFUNCTION("""COMPUTED_VALUE"""),0.0)</f>
        <v>0</v>
      </c>
      <c r="K67" s="29">
        <f>IFERROR(__xludf.DUMMYFUNCTION("""COMPUTED_VALUE"""),0.0)</f>
        <v>0</v>
      </c>
      <c r="L67" s="28" t="b">
        <v>0</v>
      </c>
      <c r="M67" s="28"/>
    </row>
    <row r="68">
      <c r="A68" s="28"/>
      <c r="B68" s="28"/>
      <c r="C68" s="28"/>
      <c r="D68" s="28"/>
      <c r="E68" s="28"/>
      <c r="F68" s="28"/>
      <c r="G68" s="28"/>
      <c r="H68" s="28"/>
      <c r="I68" s="53"/>
      <c r="J68" s="29">
        <f>IFERROR(__xludf.DUMMYFUNCTION("""COMPUTED_VALUE"""),0.0)</f>
        <v>0</v>
      </c>
      <c r="K68" s="29">
        <f>IFERROR(__xludf.DUMMYFUNCTION("""COMPUTED_VALUE"""),0.0)</f>
        <v>0</v>
      </c>
      <c r="L68" s="28" t="b">
        <v>0</v>
      </c>
      <c r="M68" s="28"/>
    </row>
    <row r="69">
      <c r="A69" s="28"/>
      <c r="B69" s="28"/>
      <c r="C69" s="28"/>
      <c r="D69" s="28"/>
      <c r="E69" s="28"/>
      <c r="F69" s="28"/>
      <c r="G69" s="28"/>
      <c r="H69" s="28"/>
      <c r="I69" s="53"/>
      <c r="J69" s="29">
        <f>IFERROR(__xludf.DUMMYFUNCTION("""COMPUTED_VALUE"""),0.0)</f>
        <v>0</v>
      </c>
      <c r="K69" s="29">
        <f>IFERROR(__xludf.DUMMYFUNCTION("""COMPUTED_VALUE"""),0.0)</f>
        <v>0</v>
      </c>
      <c r="L69" s="28" t="b">
        <v>0</v>
      </c>
      <c r="M69" s="28"/>
    </row>
    <row r="70">
      <c r="A70" s="28"/>
      <c r="B70" s="28"/>
      <c r="C70" s="28"/>
      <c r="D70" s="28"/>
      <c r="E70" s="28"/>
      <c r="F70" s="28"/>
      <c r="G70" s="28"/>
      <c r="H70" s="28"/>
      <c r="I70" s="53"/>
      <c r="J70" s="29">
        <f>IFERROR(__xludf.DUMMYFUNCTION("""COMPUTED_VALUE"""),0.0)</f>
        <v>0</v>
      </c>
      <c r="K70" s="29">
        <f>IFERROR(__xludf.DUMMYFUNCTION("""COMPUTED_VALUE"""),0.0)</f>
        <v>0</v>
      </c>
      <c r="L70" s="28" t="b">
        <v>0</v>
      </c>
      <c r="M70" s="28"/>
    </row>
    <row r="71">
      <c r="A71" s="28"/>
      <c r="B71" s="28"/>
      <c r="C71" s="28"/>
      <c r="D71" s="28"/>
      <c r="E71" s="28"/>
      <c r="F71" s="28"/>
      <c r="G71" s="28"/>
      <c r="H71" s="28"/>
      <c r="I71" s="53"/>
      <c r="J71" s="29">
        <f>IFERROR(__xludf.DUMMYFUNCTION("""COMPUTED_VALUE"""),0.0)</f>
        <v>0</v>
      </c>
      <c r="K71" s="29">
        <f>IFERROR(__xludf.DUMMYFUNCTION("""COMPUTED_VALUE"""),0.0)</f>
        <v>0</v>
      </c>
      <c r="L71" s="28" t="b">
        <v>0</v>
      </c>
      <c r="M71" s="28"/>
    </row>
    <row r="72">
      <c r="A72" s="28"/>
      <c r="B72" s="28"/>
      <c r="C72" s="28"/>
      <c r="D72" s="28"/>
      <c r="E72" s="28"/>
      <c r="F72" s="28"/>
      <c r="G72" s="28"/>
      <c r="H72" s="28"/>
      <c r="I72" s="53"/>
      <c r="J72" s="29">
        <f>IFERROR(__xludf.DUMMYFUNCTION("""COMPUTED_VALUE"""),0.0)</f>
        <v>0</v>
      </c>
      <c r="K72" s="29">
        <f>IFERROR(__xludf.DUMMYFUNCTION("""COMPUTED_VALUE"""),0.0)</f>
        <v>0</v>
      </c>
      <c r="L72" s="28" t="b">
        <v>0</v>
      </c>
      <c r="M72" s="28"/>
    </row>
    <row r="73">
      <c r="A73" s="28"/>
      <c r="B73" s="28"/>
      <c r="C73" s="28"/>
      <c r="D73" s="28"/>
      <c r="E73" s="28"/>
      <c r="F73" s="28"/>
      <c r="G73" s="28"/>
      <c r="H73" s="28"/>
      <c r="I73" s="53"/>
      <c r="J73" s="29">
        <f>IFERROR(__xludf.DUMMYFUNCTION("""COMPUTED_VALUE"""),0.0)</f>
        <v>0</v>
      </c>
      <c r="K73" s="29">
        <f>IFERROR(__xludf.DUMMYFUNCTION("""COMPUTED_VALUE"""),0.0)</f>
        <v>0</v>
      </c>
      <c r="L73" s="28" t="b">
        <v>0</v>
      </c>
      <c r="M73" s="28"/>
    </row>
    <row r="74">
      <c r="A74" s="28"/>
      <c r="B74" s="28"/>
      <c r="C74" s="28"/>
      <c r="D74" s="28"/>
      <c r="E74" s="28"/>
      <c r="F74" s="28"/>
      <c r="G74" s="28"/>
      <c r="H74" s="28"/>
      <c r="I74" s="53"/>
      <c r="J74" s="29">
        <f>IFERROR(__xludf.DUMMYFUNCTION("""COMPUTED_VALUE"""),0.0)</f>
        <v>0</v>
      </c>
      <c r="K74" s="29">
        <f>IFERROR(__xludf.DUMMYFUNCTION("""COMPUTED_VALUE"""),0.0)</f>
        <v>0</v>
      </c>
      <c r="L74" s="28" t="b">
        <v>0</v>
      </c>
      <c r="M74" s="28"/>
    </row>
    <row r="75">
      <c r="A75" s="28"/>
      <c r="B75" s="28"/>
      <c r="C75" s="28"/>
      <c r="D75" s="28"/>
      <c r="E75" s="28"/>
      <c r="F75" s="28"/>
      <c r="G75" s="28"/>
      <c r="H75" s="28"/>
      <c r="I75" s="53"/>
      <c r="J75" s="29">
        <f>IFERROR(__xludf.DUMMYFUNCTION("""COMPUTED_VALUE"""),0.0)</f>
        <v>0</v>
      </c>
      <c r="K75" s="29">
        <f>IFERROR(__xludf.DUMMYFUNCTION("""COMPUTED_VALUE"""),0.0)</f>
        <v>0</v>
      </c>
      <c r="L75" s="28" t="b">
        <v>0</v>
      </c>
      <c r="M75" s="28"/>
    </row>
    <row r="76">
      <c r="A76" s="28"/>
      <c r="B76" s="28"/>
      <c r="C76" s="28"/>
      <c r="D76" s="28"/>
      <c r="E76" s="28"/>
      <c r="F76" s="28"/>
      <c r="G76" s="28"/>
      <c r="H76" s="28"/>
      <c r="I76" s="53"/>
      <c r="J76" s="29">
        <f>IFERROR(__xludf.DUMMYFUNCTION("""COMPUTED_VALUE"""),0.0)</f>
        <v>0</v>
      </c>
      <c r="K76" s="29">
        <f>IFERROR(__xludf.DUMMYFUNCTION("""COMPUTED_VALUE"""),0.0)</f>
        <v>0</v>
      </c>
      <c r="L76" s="28" t="b">
        <v>0</v>
      </c>
      <c r="M76" s="28"/>
    </row>
    <row r="77">
      <c r="A77" s="28"/>
      <c r="B77" s="28"/>
      <c r="C77" s="28"/>
      <c r="D77" s="28"/>
      <c r="E77" s="28"/>
      <c r="F77" s="28"/>
      <c r="G77" s="28"/>
      <c r="H77" s="28"/>
      <c r="I77" s="53"/>
      <c r="J77" s="29">
        <f>IFERROR(__xludf.DUMMYFUNCTION("""COMPUTED_VALUE"""),0.0)</f>
        <v>0</v>
      </c>
      <c r="K77" s="29">
        <f>IFERROR(__xludf.DUMMYFUNCTION("""COMPUTED_VALUE"""),0.0)</f>
        <v>0</v>
      </c>
      <c r="L77" s="28" t="b">
        <v>0</v>
      </c>
      <c r="M77" s="28"/>
    </row>
    <row r="78">
      <c r="A78" s="28"/>
      <c r="B78" s="28"/>
      <c r="C78" s="28"/>
      <c r="D78" s="28"/>
      <c r="E78" s="28"/>
      <c r="F78" s="28"/>
      <c r="G78" s="28"/>
      <c r="H78" s="28"/>
      <c r="I78" s="53"/>
      <c r="J78" s="29">
        <f>IFERROR(__xludf.DUMMYFUNCTION("""COMPUTED_VALUE"""),0.0)</f>
        <v>0</v>
      </c>
      <c r="K78" s="29">
        <f>IFERROR(__xludf.DUMMYFUNCTION("""COMPUTED_VALUE"""),0.0)</f>
        <v>0</v>
      </c>
      <c r="L78" s="28" t="b">
        <v>0</v>
      </c>
      <c r="M78" s="28"/>
    </row>
    <row r="79">
      <c r="A79" s="28"/>
      <c r="B79" s="28"/>
      <c r="C79" s="28"/>
      <c r="D79" s="28"/>
      <c r="E79" s="28"/>
      <c r="F79" s="28"/>
      <c r="G79" s="28"/>
      <c r="H79" s="28"/>
      <c r="I79" s="53"/>
      <c r="J79" s="29">
        <f>IFERROR(__xludf.DUMMYFUNCTION("""COMPUTED_VALUE"""),0.0)</f>
        <v>0</v>
      </c>
      <c r="K79" s="29">
        <f>IFERROR(__xludf.DUMMYFUNCTION("""COMPUTED_VALUE"""),0.0)</f>
        <v>0</v>
      </c>
      <c r="L79" s="28" t="b">
        <v>0</v>
      </c>
      <c r="M79" s="28"/>
    </row>
    <row r="80">
      <c r="A80" s="28"/>
      <c r="B80" s="28"/>
      <c r="C80" s="28"/>
      <c r="D80" s="28"/>
      <c r="E80" s="28"/>
      <c r="F80" s="28"/>
      <c r="G80" s="28"/>
      <c r="H80" s="28"/>
      <c r="I80" s="53"/>
      <c r="J80" s="29">
        <f>IFERROR(__xludf.DUMMYFUNCTION("""COMPUTED_VALUE"""),0.0)</f>
        <v>0</v>
      </c>
      <c r="K80" s="29">
        <f>IFERROR(__xludf.DUMMYFUNCTION("""COMPUTED_VALUE"""),0.0)</f>
        <v>0</v>
      </c>
      <c r="L80" s="28" t="b">
        <v>0</v>
      </c>
      <c r="M80" s="28"/>
    </row>
    <row r="81">
      <c r="A81" s="28"/>
      <c r="B81" s="28"/>
      <c r="C81" s="28"/>
      <c r="D81" s="28"/>
      <c r="E81" s="28"/>
      <c r="F81" s="28"/>
      <c r="G81" s="28"/>
      <c r="H81" s="28"/>
      <c r="I81" s="53"/>
      <c r="J81" s="29">
        <f>IFERROR(__xludf.DUMMYFUNCTION("""COMPUTED_VALUE"""),0.0)</f>
        <v>0</v>
      </c>
      <c r="K81" s="29">
        <f>IFERROR(__xludf.DUMMYFUNCTION("""COMPUTED_VALUE"""),0.0)</f>
        <v>0</v>
      </c>
      <c r="L81" s="28" t="b">
        <v>0</v>
      </c>
      <c r="M81" s="28"/>
    </row>
    <row r="82">
      <c r="A82" s="28"/>
      <c r="B82" s="28"/>
      <c r="C82" s="28"/>
      <c r="D82" s="28"/>
      <c r="E82" s="28"/>
      <c r="F82" s="28"/>
      <c r="G82" s="28"/>
      <c r="H82" s="28"/>
      <c r="I82" s="53"/>
      <c r="J82" s="29">
        <f>IFERROR(__xludf.DUMMYFUNCTION("""COMPUTED_VALUE"""),0.0)</f>
        <v>0</v>
      </c>
      <c r="K82" s="29">
        <f>IFERROR(__xludf.DUMMYFUNCTION("""COMPUTED_VALUE"""),0.0)</f>
        <v>0</v>
      </c>
      <c r="L82" s="28" t="b">
        <v>0</v>
      </c>
      <c r="M82" s="28"/>
    </row>
    <row r="83">
      <c r="A83" s="28"/>
      <c r="B83" s="28"/>
      <c r="C83" s="28"/>
      <c r="D83" s="28"/>
      <c r="E83" s="28"/>
      <c r="F83" s="28"/>
      <c r="G83" s="28"/>
      <c r="H83" s="28"/>
      <c r="I83" s="53"/>
      <c r="J83" s="29">
        <f>IFERROR(__xludf.DUMMYFUNCTION("""COMPUTED_VALUE"""),0.0)</f>
        <v>0</v>
      </c>
      <c r="K83" s="29">
        <f>IFERROR(__xludf.DUMMYFUNCTION("""COMPUTED_VALUE"""),0.0)</f>
        <v>0</v>
      </c>
      <c r="L83" s="28" t="b">
        <v>0</v>
      </c>
      <c r="M83" s="28"/>
    </row>
    <row r="84">
      <c r="A84" s="28"/>
      <c r="B84" s="28"/>
      <c r="C84" s="28"/>
      <c r="D84" s="28"/>
      <c r="E84" s="28"/>
      <c r="F84" s="28"/>
      <c r="G84" s="28"/>
      <c r="H84" s="28"/>
      <c r="I84" s="53"/>
      <c r="J84" s="29">
        <f>IFERROR(__xludf.DUMMYFUNCTION("""COMPUTED_VALUE"""),0.0)</f>
        <v>0</v>
      </c>
      <c r="K84" s="29">
        <f>IFERROR(__xludf.DUMMYFUNCTION("""COMPUTED_VALUE"""),0.0)</f>
        <v>0</v>
      </c>
      <c r="L84" s="28" t="b">
        <v>0</v>
      </c>
      <c r="M84" s="28"/>
    </row>
    <row r="85">
      <c r="A85" s="28"/>
      <c r="B85" s="28"/>
      <c r="C85" s="28"/>
      <c r="D85" s="28"/>
      <c r="E85" s="28"/>
      <c r="F85" s="28"/>
      <c r="G85" s="28"/>
      <c r="H85" s="28"/>
      <c r="I85" s="53"/>
      <c r="J85" s="29">
        <f>IFERROR(__xludf.DUMMYFUNCTION("""COMPUTED_VALUE"""),0.0)</f>
        <v>0</v>
      </c>
      <c r="K85" s="29">
        <f>IFERROR(__xludf.DUMMYFUNCTION("""COMPUTED_VALUE"""),0.0)</f>
        <v>0</v>
      </c>
      <c r="L85" s="28" t="b">
        <v>0</v>
      </c>
      <c r="M85" s="28"/>
    </row>
    <row r="86">
      <c r="A86" s="28"/>
      <c r="B86" s="28"/>
      <c r="C86" s="28"/>
      <c r="D86" s="28"/>
      <c r="E86" s="28"/>
      <c r="F86" s="28"/>
      <c r="G86" s="28"/>
      <c r="H86" s="28"/>
      <c r="I86" s="53"/>
      <c r="J86" s="29">
        <f>IFERROR(__xludf.DUMMYFUNCTION("""COMPUTED_VALUE"""),0.0)</f>
        <v>0</v>
      </c>
      <c r="K86" s="29">
        <f>IFERROR(__xludf.DUMMYFUNCTION("""COMPUTED_VALUE"""),0.0)</f>
        <v>0</v>
      </c>
      <c r="L86" s="28" t="b">
        <v>0</v>
      </c>
      <c r="M86" s="28"/>
    </row>
    <row r="87">
      <c r="A87" s="28"/>
      <c r="B87" s="28"/>
      <c r="C87" s="28"/>
      <c r="D87" s="28"/>
      <c r="E87" s="28"/>
      <c r="F87" s="28"/>
      <c r="G87" s="28"/>
      <c r="H87" s="28"/>
      <c r="I87" s="53"/>
      <c r="J87" s="29">
        <f>IFERROR(__xludf.DUMMYFUNCTION("""COMPUTED_VALUE"""),0.0)</f>
        <v>0</v>
      </c>
      <c r="K87" s="29">
        <f>IFERROR(__xludf.DUMMYFUNCTION("""COMPUTED_VALUE"""),0.0)</f>
        <v>0</v>
      </c>
      <c r="L87" s="28" t="b">
        <v>0</v>
      </c>
      <c r="M87" s="28"/>
    </row>
    <row r="88">
      <c r="A88" s="28"/>
      <c r="B88" s="28"/>
      <c r="C88" s="28"/>
      <c r="D88" s="28"/>
      <c r="E88" s="28"/>
      <c r="F88" s="28"/>
      <c r="G88" s="28"/>
      <c r="H88" s="28"/>
      <c r="I88" s="53"/>
      <c r="J88" s="29">
        <f>IFERROR(__xludf.DUMMYFUNCTION("""COMPUTED_VALUE"""),0.0)</f>
        <v>0</v>
      </c>
      <c r="K88" s="29">
        <f>IFERROR(__xludf.DUMMYFUNCTION("""COMPUTED_VALUE"""),0.0)</f>
        <v>0</v>
      </c>
      <c r="L88" s="28" t="b">
        <v>0</v>
      </c>
      <c r="M88" s="28"/>
    </row>
    <row r="89">
      <c r="A89" s="28"/>
      <c r="B89" s="28"/>
      <c r="C89" s="28"/>
      <c r="D89" s="28"/>
      <c r="E89" s="28"/>
      <c r="F89" s="28"/>
      <c r="G89" s="28"/>
      <c r="H89" s="28"/>
      <c r="I89" s="53"/>
      <c r="J89" s="29">
        <f>IFERROR(__xludf.DUMMYFUNCTION("""COMPUTED_VALUE"""),0.0)</f>
        <v>0</v>
      </c>
      <c r="K89" s="29">
        <f>IFERROR(__xludf.DUMMYFUNCTION("""COMPUTED_VALUE"""),0.0)</f>
        <v>0</v>
      </c>
      <c r="L89" s="28" t="b">
        <v>0</v>
      </c>
      <c r="M89" s="28"/>
    </row>
    <row r="90">
      <c r="A90" s="28"/>
      <c r="B90" s="28"/>
      <c r="C90" s="28"/>
      <c r="D90" s="28"/>
      <c r="E90" s="28"/>
      <c r="F90" s="28"/>
      <c r="G90" s="28"/>
      <c r="H90" s="28"/>
      <c r="I90" s="53"/>
      <c r="J90" s="29">
        <f>IFERROR(__xludf.DUMMYFUNCTION("""COMPUTED_VALUE"""),0.0)</f>
        <v>0</v>
      </c>
      <c r="K90" s="29">
        <f>IFERROR(__xludf.DUMMYFUNCTION("""COMPUTED_VALUE"""),0.0)</f>
        <v>0</v>
      </c>
      <c r="L90" s="28" t="b">
        <v>0</v>
      </c>
      <c r="M90" s="28"/>
    </row>
    <row r="91">
      <c r="A91" s="28"/>
      <c r="B91" s="28"/>
      <c r="C91" s="28"/>
      <c r="D91" s="28"/>
      <c r="E91" s="28"/>
      <c r="F91" s="28"/>
      <c r="G91" s="28"/>
      <c r="H91" s="28"/>
      <c r="I91" s="53"/>
      <c r="J91" s="29">
        <f>IFERROR(__xludf.DUMMYFUNCTION("""COMPUTED_VALUE"""),0.0)</f>
        <v>0</v>
      </c>
      <c r="K91" s="29">
        <f>IFERROR(__xludf.DUMMYFUNCTION("""COMPUTED_VALUE"""),0.0)</f>
        <v>0</v>
      </c>
      <c r="L91" s="28" t="b">
        <v>0</v>
      </c>
      <c r="M91" s="28"/>
    </row>
    <row r="92">
      <c r="A92" s="28"/>
      <c r="B92" s="28"/>
      <c r="C92" s="28"/>
      <c r="D92" s="28"/>
      <c r="E92" s="28"/>
      <c r="F92" s="28"/>
      <c r="G92" s="28"/>
      <c r="H92" s="28"/>
      <c r="I92" s="53"/>
      <c r="J92" s="29">
        <f>IFERROR(__xludf.DUMMYFUNCTION("""COMPUTED_VALUE"""),0.0)</f>
        <v>0</v>
      </c>
      <c r="K92" s="29">
        <f>IFERROR(__xludf.DUMMYFUNCTION("""COMPUTED_VALUE"""),0.0)</f>
        <v>0</v>
      </c>
      <c r="L92" s="28" t="b">
        <v>0</v>
      </c>
      <c r="M92" s="28"/>
    </row>
    <row r="93">
      <c r="A93" s="28"/>
      <c r="B93" s="28"/>
      <c r="C93" s="28"/>
      <c r="D93" s="28"/>
      <c r="E93" s="28"/>
      <c r="F93" s="28"/>
      <c r="G93" s="28"/>
      <c r="H93" s="28"/>
      <c r="I93" s="53"/>
      <c r="J93" s="29">
        <f>IFERROR(__xludf.DUMMYFUNCTION("""COMPUTED_VALUE"""),0.0)</f>
        <v>0</v>
      </c>
      <c r="K93" s="29">
        <f>IFERROR(__xludf.DUMMYFUNCTION("""COMPUTED_VALUE"""),0.0)</f>
        <v>0</v>
      </c>
      <c r="L93" s="28" t="b">
        <v>0</v>
      </c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53"/>
      <c r="J94" s="29">
        <f>IFERROR(__xludf.DUMMYFUNCTION("""COMPUTED_VALUE"""),0.0)</f>
        <v>0</v>
      </c>
      <c r="K94" s="29">
        <f>IFERROR(__xludf.DUMMYFUNCTION("""COMPUTED_VALUE"""),0.0)</f>
        <v>0</v>
      </c>
      <c r="L94" s="28" t="b">
        <v>0</v>
      </c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53"/>
      <c r="J95" s="29">
        <f>IFERROR(__xludf.DUMMYFUNCTION("""COMPUTED_VALUE"""),0.0)</f>
        <v>0</v>
      </c>
      <c r="K95" s="29">
        <f>IFERROR(__xludf.DUMMYFUNCTION("""COMPUTED_VALUE"""),0.0)</f>
        <v>0</v>
      </c>
      <c r="L95" s="28" t="b">
        <v>0</v>
      </c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53"/>
      <c r="J96" s="29">
        <f>IFERROR(__xludf.DUMMYFUNCTION("""COMPUTED_VALUE"""),0.0)</f>
        <v>0</v>
      </c>
      <c r="K96" s="29">
        <f>IFERROR(__xludf.DUMMYFUNCTION("""COMPUTED_VALUE"""),0.0)</f>
        <v>0</v>
      </c>
      <c r="L96" s="28" t="b">
        <v>0</v>
      </c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53"/>
      <c r="J97" s="29">
        <f>IFERROR(__xludf.DUMMYFUNCTION("""COMPUTED_VALUE"""),0.0)</f>
        <v>0</v>
      </c>
      <c r="K97" s="29">
        <f>IFERROR(__xludf.DUMMYFUNCTION("""COMPUTED_VALUE"""),0.0)</f>
        <v>0</v>
      </c>
      <c r="L97" s="28" t="b">
        <v>0</v>
      </c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53"/>
      <c r="J98" s="29">
        <f>IFERROR(__xludf.DUMMYFUNCTION("""COMPUTED_VALUE"""),0.0)</f>
        <v>0</v>
      </c>
      <c r="K98" s="29">
        <f>IFERROR(__xludf.DUMMYFUNCTION("""COMPUTED_VALUE"""),0.0)</f>
        <v>0</v>
      </c>
      <c r="L98" s="28" t="b">
        <v>0</v>
      </c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53"/>
      <c r="J99" s="29">
        <f>IFERROR(__xludf.DUMMYFUNCTION("""COMPUTED_VALUE"""),0.0)</f>
        <v>0</v>
      </c>
      <c r="K99" s="29">
        <f>IFERROR(__xludf.DUMMYFUNCTION("""COMPUTED_VALUE"""),0.0)</f>
        <v>0</v>
      </c>
      <c r="L99" s="28" t="b">
        <v>0</v>
      </c>
      <c r="M99" s="28"/>
    </row>
    <row r="100">
      <c r="A100" s="57"/>
      <c r="B100" s="57"/>
      <c r="C100" s="57"/>
      <c r="D100" s="57"/>
      <c r="E100" s="57"/>
      <c r="F100" s="57"/>
      <c r="G100" s="57"/>
      <c r="H100" s="57"/>
      <c r="I100" s="54"/>
      <c r="J100" s="56">
        <f>IFERROR(__xludf.DUMMYFUNCTION("""COMPUTED_VALUE"""),0.0)</f>
        <v>0</v>
      </c>
      <c r="K100" s="56">
        <f>IFERROR(__xludf.DUMMYFUNCTION("""COMPUTED_VALUE"""),0.0)</f>
        <v>0</v>
      </c>
      <c r="L100" s="28" t="b">
        <v>0</v>
      </c>
      <c r="M100" s="28"/>
    </row>
    <row r="101">
      <c r="A101" s="57"/>
      <c r="B101" s="57"/>
      <c r="C101" s="57"/>
      <c r="D101" s="57"/>
      <c r="E101" s="57"/>
      <c r="F101" s="57"/>
      <c r="G101" s="57"/>
      <c r="H101" s="57"/>
      <c r="I101" s="54"/>
      <c r="J101" s="56">
        <f>IFERROR(__xludf.DUMMYFUNCTION("""COMPUTED_VALUE"""),0.0)</f>
        <v>0</v>
      </c>
      <c r="K101" s="56">
        <f>IFERROR(__xludf.DUMMYFUNCTION("""COMPUTED_VALUE"""),0.0)</f>
        <v>0</v>
      </c>
      <c r="L101" s="57" t="b">
        <v>0</v>
      </c>
      <c r="M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8"/>
      <c r="J102" s="56">
        <f>IFERROR(__xludf.DUMMYFUNCTION("""COMPUTED_VALUE"""),0.0)</f>
        <v>0</v>
      </c>
      <c r="K102" s="56">
        <f>IFERROR(__xludf.DUMMYFUNCTION("""COMPUTED_VALUE"""),0.0)</f>
        <v>0</v>
      </c>
      <c r="L102" s="57" t="b">
        <v>0</v>
      </c>
      <c r="M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8"/>
      <c r="J103" s="56">
        <f>IFERROR(__xludf.DUMMYFUNCTION("""COMPUTED_VALUE"""),0.0)</f>
        <v>0</v>
      </c>
      <c r="K103" s="56">
        <f>IFERROR(__xludf.DUMMYFUNCTION("""COMPUTED_VALUE"""),0.0)</f>
        <v>0</v>
      </c>
      <c r="L103" s="57" t="b">
        <v>0</v>
      </c>
      <c r="M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8"/>
      <c r="J104" s="56">
        <f>IFERROR(__xludf.DUMMYFUNCTION("""COMPUTED_VALUE"""),0.0)</f>
        <v>0</v>
      </c>
      <c r="K104" s="56">
        <f>IFERROR(__xludf.DUMMYFUNCTION("""COMPUTED_VALUE"""),0.0)</f>
        <v>0</v>
      </c>
      <c r="L104" s="57" t="b">
        <v>0</v>
      </c>
      <c r="M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8"/>
      <c r="J105" s="56">
        <f>IFERROR(__xludf.DUMMYFUNCTION("""COMPUTED_VALUE"""),0.0)</f>
        <v>0</v>
      </c>
      <c r="K105" s="56">
        <f>IFERROR(__xludf.DUMMYFUNCTION("""COMPUTED_VALUE"""),0.0)</f>
        <v>0</v>
      </c>
      <c r="L105" s="57" t="b">
        <v>0</v>
      </c>
      <c r="M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8"/>
      <c r="J106" s="56">
        <f>IFERROR(__xludf.DUMMYFUNCTION("""COMPUTED_VALUE"""),0.0)</f>
        <v>0</v>
      </c>
      <c r="K106" s="56">
        <f>IFERROR(__xludf.DUMMYFUNCTION("""COMPUTED_VALUE"""),0.0)</f>
        <v>0</v>
      </c>
      <c r="L106" s="57" t="b">
        <v>0</v>
      </c>
      <c r="M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8"/>
      <c r="J107" s="56">
        <f>IFERROR(__xludf.DUMMYFUNCTION("""COMPUTED_VALUE"""),0.0)</f>
        <v>0</v>
      </c>
      <c r="K107" s="56">
        <f>IFERROR(__xludf.DUMMYFUNCTION("""COMPUTED_VALUE"""),0.0)</f>
        <v>0</v>
      </c>
      <c r="L107" s="57" t="b">
        <v>0</v>
      </c>
      <c r="M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8"/>
      <c r="J108" s="56">
        <f>IFERROR(__xludf.DUMMYFUNCTION("""COMPUTED_VALUE"""),0.0)</f>
        <v>0</v>
      </c>
      <c r="K108" s="56">
        <f>IFERROR(__xludf.DUMMYFUNCTION("""COMPUTED_VALUE"""),0.0)</f>
        <v>0</v>
      </c>
      <c r="L108" s="57" t="b">
        <v>0</v>
      </c>
      <c r="M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8"/>
      <c r="J109" s="56">
        <f>IFERROR(__xludf.DUMMYFUNCTION("""COMPUTED_VALUE"""),0.0)</f>
        <v>0</v>
      </c>
      <c r="K109" s="56">
        <f>IFERROR(__xludf.DUMMYFUNCTION("""COMPUTED_VALUE"""),0.0)</f>
        <v>0</v>
      </c>
      <c r="L109" s="57" t="b">
        <v>0</v>
      </c>
      <c r="M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8"/>
      <c r="J110" s="56">
        <f>IFERROR(__xludf.DUMMYFUNCTION("""COMPUTED_VALUE"""),0.0)</f>
        <v>0</v>
      </c>
      <c r="K110" s="56">
        <f>IFERROR(__xludf.DUMMYFUNCTION("""COMPUTED_VALUE"""),0.0)</f>
        <v>0</v>
      </c>
      <c r="L110" s="57" t="b">
        <v>0</v>
      </c>
      <c r="M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8"/>
      <c r="J111" s="56">
        <f>IFERROR(__xludf.DUMMYFUNCTION("""COMPUTED_VALUE"""),0.0)</f>
        <v>0</v>
      </c>
      <c r="K111" s="56">
        <f>IFERROR(__xludf.DUMMYFUNCTION("""COMPUTED_VALUE"""),0.0)</f>
        <v>0</v>
      </c>
      <c r="L111" s="57" t="b">
        <v>0</v>
      </c>
      <c r="M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8"/>
      <c r="J112" s="56">
        <f>IFERROR(__xludf.DUMMYFUNCTION("""COMPUTED_VALUE"""),0.0)</f>
        <v>0</v>
      </c>
      <c r="K112" s="56">
        <f>IFERROR(__xludf.DUMMYFUNCTION("""COMPUTED_VALUE"""),0.0)</f>
        <v>0</v>
      </c>
      <c r="L112" s="57" t="b">
        <v>0</v>
      </c>
      <c r="M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8"/>
      <c r="J113" s="56">
        <f>IFERROR(__xludf.DUMMYFUNCTION("""COMPUTED_VALUE"""),0.0)</f>
        <v>0</v>
      </c>
      <c r="K113" s="56">
        <f>IFERROR(__xludf.DUMMYFUNCTION("""COMPUTED_VALUE"""),0.0)</f>
        <v>0</v>
      </c>
      <c r="L113" s="57" t="b">
        <v>0</v>
      </c>
      <c r="M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8"/>
      <c r="J114" s="56">
        <f>IFERROR(__xludf.DUMMYFUNCTION("""COMPUTED_VALUE"""),0.0)</f>
        <v>0</v>
      </c>
      <c r="K114" s="56">
        <f>IFERROR(__xludf.DUMMYFUNCTION("""COMPUTED_VALUE"""),0.0)</f>
        <v>0</v>
      </c>
      <c r="L114" s="57" t="b">
        <v>0</v>
      </c>
      <c r="M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8"/>
      <c r="J115" s="56">
        <f>IFERROR(__xludf.DUMMYFUNCTION("""COMPUTED_VALUE"""),0.0)</f>
        <v>0</v>
      </c>
      <c r="K115" s="56">
        <f>IFERROR(__xludf.DUMMYFUNCTION("""COMPUTED_VALUE"""),0.0)</f>
        <v>0</v>
      </c>
      <c r="L115" s="57" t="b">
        <v>0</v>
      </c>
      <c r="M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8"/>
      <c r="J116" s="56">
        <f>IFERROR(__xludf.DUMMYFUNCTION("""COMPUTED_VALUE"""),0.0)</f>
        <v>0</v>
      </c>
      <c r="K116" s="56">
        <f>IFERROR(__xludf.DUMMYFUNCTION("""COMPUTED_VALUE"""),0.0)</f>
        <v>0</v>
      </c>
      <c r="L116" s="57" t="b">
        <v>0</v>
      </c>
      <c r="M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8"/>
      <c r="J117" s="56">
        <f>IFERROR(__xludf.DUMMYFUNCTION("""COMPUTED_VALUE"""),0.0)</f>
        <v>0</v>
      </c>
      <c r="K117" s="56">
        <f>IFERROR(__xludf.DUMMYFUNCTION("""COMPUTED_VALUE"""),0.0)</f>
        <v>0</v>
      </c>
      <c r="L117" s="57" t="b">
        <v>0</v>
      </c>
      <c r="M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8"/>
      <c r="J118" s="56">
        <f>IFERROR(__xludf.DUMMYFUNCTION("""COMPUTED_VALUE"""),0.0)</f>
        <v>0</v>
      </c>
      <c r="K118" s="56">
        <f>IFERROR(__xludf.DUMMYFUNCTION("""COMPUTED_VALUE"""),0.0)</f>
        <v>0</v>
      </c>
      <c r="L118" s="57" t="b">
        <v>0</v>
      </c>
      <c r="M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8"/>
      <c r="J119" s="56">
        <f>IFERROR(__xludf.DUMMYFUNCTION("""COMPUTED_VALUE"""),0.0)</f>
        <v>0</v>
      </c>
      <c r="K119" s="56">
        <f>IFERROR(__xludf.DUMMYFUNCTION("""COMPUTED_VALUE"""),0.0)</f>
        <v>0</v>
      </c>
      <c r="L119" s="57" t="b">
        <v>0</v>
      </c>
      <c r="M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8"/>
      <c r="J120" s="56">
        <f>IFERROR(__xludf.DUMMYFUNCTION("""COMPUTED_VALUE"""),0.0)</f>
        <v>0</v>
      </c>
      <c r="K120" s="56">
        <f>IFERROR(__xludf.DUMMYFUNCTION("""COMPUTED_VALUE"""),0.0)</f>
        <v>0</v>
      </c>
      <c r="L120" s="57" t="b">
        <v>0</v>
      </c>
      <c r="M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8"/>
      <c r="J121" s="56">
        <f>IFERROR(__xludf.DUMMYFUNCTION("""COMPUTED_VALUE"""),0.0)</f>
        <v>0</v>
      </c>
      <c r="K121" s="56">
        <f>IFERROR(__xludf.DUMMYFUNCTION("""COMPUTED_VALUE"""),0.0)</f>
        <v>0</v>
      </c>
      <c r="L121" s="57" t="b">
        <v>0</v>
      </c>
      <c r="M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8"/>
      <c r="J122" s="56">
        <f>IFERROR(__xludf.DUMMYFUNCTION("""COMPUTED_VALUE"""),0.0)</f>
        <v>0</v>
      </c>
      <c r="K122" s="56">
        <f>IFERROR(__xludf.DUMMYFUNCTION("""COMPUTED_VALUE"""),0.0)</f>
        <v>0</v>
      </c>
      <c r="L122" s="57" t="b">
        <v>0</v>
      </c>
      <c r="M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8"/>
      <c r="J123" s="56">
        <f>IFERROR(__xludf.DUMMYFUNCTION("""COMPUTED_VALUE"""),0.0)</f>
        <v>0</v>
      </c>
      <c r="K123" s="56">
        <f>IFERROR(__xludf.DUMMYFUNCTION("""COMPUTED_VALUE"""),0.0)</f>
        <v>0</v>
      </c>
      <c r="L123" s="57" t="b">
        <v>0</v>
      </c>
      <c r="M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8"/>
      <c r="J124" s="56">
        <f>IFERROR(__xludf.DUMMYFUNCTION("""COMPUTED_VALUE"""),0.0)</f>
        <v>0</v>
      </c>
      <c r="K124" s="56">
        <f>IFERROR(__xludf.DUMMYFUNCTION("""COMPUTED_VALUE"""),0.0)</f>
        <v>0</v>
      </c>
      <c r="L124" s="57" t="b">
        <v>0</v>
      </c>
      <c r="M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8"/>
      <c r="J125" s="56">
        <f>IFERROR(__xludf.DUMMYFUNCTION("""COMPUTED_VALUE"""),0.0)</f>
        <v>0</v>
      </c>
      <c r="K125" s="56">
        <f>IFERROR(__xludf.DUMMYFUNCTION("""COMPUTED_VALUE"""),0.0)</f>
        <v>0</v>
      </c>
      <c r="L125" s="57" t="b">
        <v>0</v>
      </c>
      <c r="M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8"/>
      <c r="J126" s="56">
        <f>IFERROR(__xludf.DUMMYFUNCTION("""COMPUTED_VALUE"""),0.0)</f>
        <v>0</v>
      </c>
      <c r="K126" s="56">
        <f>IFERROR(__xludf.DUMMYFUNCTION("""COMPUTED_VALUE"""),0.0)</f>
        <v>0</v>
      </c>
      <c r="L126" s="57" t="b">
        <v>0</v>
      </c>
      <c r="M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8"/>
      <c r="J127" s="56">
        <f>IFERROR(__xludf.DUMMYFUNCTION("""COMPUTED_VALUE"""),0.0)</f>
        <v>0</v>
      </c>
      <c r="K127" s="56">
        <f>IFERROR(__xludf.DUMMYFUNCTION("""COMPUTED_VALUE"""),0.0)</f>
        <v>0</v>
      </c>
      <c r="L127" s="57" t="b">
        <v>0</v>
      </c>
      <c r="M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8"/>
      <c r="J128" s="56">
        <f>IFERROR(__xludf.DUMMYFUNCTION("""COMPUTED_VALUE"""),0.0)</f>
        <v>0</v>
      </c>
      <c r="K128" s="56">
        <f>IFERROR(__xludf.DUMMYFUNCTION("""COMPUTED_VALUE"""),0.0)</f>
        <v>0</v>
      </c>
      <c r="L128" s="57" t="b">
        <v>0</v>
      </c>
      <c r="M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8"/>
      <c r="J129" s="56">
        <f>IFERROR(__xludf.DUMMYFUNCTION("""COMPUTED_VALUE"""),0.0)</f>
        <v>0</v>
      </c>
      <c r="K129" s="56">
        <f>IFERROR(__xludf.DUMMYFUNCTION("""COMPUTED_VALUE"""),0.0)</f>
        <v>0</v>
      </c>
      <c r="L129" s="57" t="b">
        <v>0</v>
      </c>
      <c r="M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8"/>
      <c r="J130" s="56">
        <f>IFERROR(__xludf.DUMMYFUNCTION("""COMPUTED_VALUE"""),0.0)</f>
        <v>0</v>
      </c>
      <c r="K130" s="56">
        <f>IFERROR(__xludf.DUMMYFUNCTION("""COMPUTED_VALUE"""),0.0)</f>
        <v>0</v>
      </c>
      <c r="L130" s="57" t="b">
        <v>0</v>
      </c>
      <c r="M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8"/>
      <c r="J131" s="56">
        <f>IFERROR(__xludf.DUMMYFUNCTION("""COMPUTED_VALUE"""),0.0)</f>
        <v>0</v>
      </c>
      <c r="K131" s="56">
        <f>IFERROR(__xludf.DUMMYFUNCTION("""COMPUTED_VALUE"""),0.0)</f>
        <v>0</v>
      </c>
      <c r="L131" s="57" t="b">
        <v>0</v>
      </c>
      <c r="M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8"/>
      <c r="J132" s="56">
        <f>IFERROR(__xludf.DUMMYFUNCTION("""COMPUTED_VALUE"""),0.0)</f>
        <v>0</v>
      </c>
      <c r="K132" s="56">
        <f>IFERROR(__xludf.DUMMYFUNCTION("""COMPUTED_VALUE"""),0.0)</f>
        <v>0</v>
      </c>
      <c r="L132" s="57" t="b">
        <v>0</v>
      </c>
      <c r="M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8"/>
      <c r="J133" s="56">
        <f>IFERROR(__xludf.DUMMYFUNCTION("""COMPUTED_VALUE"""),0.0)</f>
        <v>0</v>
      </c>
      <c r="K133" s="56">
        <f>IFERROR(__xludf.DUMMYFUNCTION("""COMPUTED_VALUE"""),0.0)</f>
        <v>0</v>
      </c>
      <c r="L133" s="57" t="b">
        <v>0</v>
      </c>
      <c r="M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8"/>
      <c r="J134" s="56">
        <f>IFERROR(__xludf.DUMMYFUNCTION("""COMPUTED_VALUE"""),0.0)</f>
        <v>0</v>
      </c>
      <c r="K134" s="56">
        <f>IFERROR(__xludf.DUMMYFUNCTION("""COMPUTED_VALUE"""),0.0)</f>
        <v>0</v>
      </c>
      <c r="L134" s="57" t="b">
        <v>0</v>
      </c>
      <c r="M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8"/>
      <c r="J135" s="56">
        <f>IFERROR(__xludf.DUMMYFUNCTION("""COMPUTED_VALUE"""),0.0)</f>
        <v>0</v>
      </c>
      <c r="K135" s="56">
        <f>IFERROR(__xludf.DUMMYFUNCTION("""COMPUTED_VALUE"""),0.0)</f>
        <v>0</v>
      </c>
      <c r="L135" s="57" t="b">
        <v>0</v>
      </c>
      <c r="M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8"/>
      <c r="J136" s="56">
        <f>IFERROR(__xludf.DUMMYFUNCTION("""COMPUTED_VALUE"""),0.0)</f>
        <v>0</v>
      </c>
      <c r="K136" s="56">
        <f>IFERROR(__xludf.DUMMYFUNCTION("""COMPUTED_VALUE"""),0.0)</f>
        <v>0</v>
      </c>
      <c r="L136" s="57" t="b">
        <v>0</v>
      </c>
      <c r="M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8"/>
      <c r="J137" s="56">
        <f>IFERROR(__xludf.DUMMYFUNCTION("""COMPUTED_VALUE"""),0.0)</f>
        <v>0</v>
      </c>
      <c r="K137" s="56">
        <f>IFERROR(__xludf.DUMMYFUNCTION("""COMPUTED_VALUE"""),0.0)</f>
        <v>0</v>
      </c>
      <c r="L137" s="57" t="b">
        <v>0</v>
      </c>
      <c r="M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8"/>
      <c r="J138" s="56">
        <f>IFERROR(__xludf.DUMMYFUNCTION("""COMPUTED_VALUE"""),0.0)</f>
        <v>0</v>
      </c>
      <c r="K138" s="56">
        <f>IFERROR(__xludf.DUMMYFUNCTION("""COMPUTED_VALUE"""),0.0)</f>
        <v>0</v>
      </c>
      <c r="L138" s="57" t="b">
        <v>0</v>
      </c>
      <c r="M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8"/>
      <c r="J139" s="56">
        <f>IFERROR(__xludf.DUMMYFUNCTION("""COMPUTED_VALUE"""),0.0)</f>
        <v>0</v>
      </c>
      <c r="K139" s="56">
        <f>IFERROR(__xludf.DUMMYFUNCTION("""COMPUTED_VALUE"""),0.0)</f>
        <v>0</v>
      </c>
      <c r="L139" s="57" t="b">
        <v>0</v>
      </c>
      <c r="M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8"/>
      <c r="J140" s="56">
        <f>IFERROR(__xludf.DUMMYFUNCTION("""COMPUTED_VALUE"""),0.0)</f>
        <v>0</v>
      </c>
      <c r="K140" s="56">
        <f>IFERROR(__xludf.DUMMYFUNCTION("""COMPUTED_VALUE"""),0.0)</f>
        <v>0</v>
      </c>
      <c r="L140" s="57" t="b">
        <v>0</v>
      </c>
      <c r="M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8"/>
      <c r="J141" s="56">
        <f>IFERROR(__xludf.DUMMYFUNCTION("""COMPUTED_VALUE"""),0.0)</f>
        <v>0</v>
      </c>
      <c r="K141" s="56">
        <f>IFERROR(__xludf.DUMMYFUNCTION("""COMPUTED_VALUE"""),0.0)</f>
        <v>0</v>
      </c>
      <c r="L141" s="57" t="b">
        <v>0</v>
      </c>
      <c r="M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8"/>
      <c r="J142" s="56">
        <f>IFERROR(__xludf.DUMMYFUNCTION("""COMPUTED_VALUE"""),0.0)</f>
        <v>0</v>
      </c>
      <c r="K142" s="56">
        <f>IFERROR(__xludf.DUMMYFUNCTION("""COMPUTED_VALUE"""),0.0)</f>
        <v>0</v>
      </c>
      <c r="L142" s="57" t="b">
        <v>0</v>
      </c>
      <c r="M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8"/>
      <c r="J143" s="56">
        <f>IFERROR(__xludf.DUMMYFUNCTION("""COMPUTED_VALUE"""),0.0)</f>
        <v>0</v>
      </c>
      <c r="K143" s="56">
        <f>IFERROR(__xludf.DUMMYFUNCTION("""COMPUTED_VALUE"""),0.0)</f>
        <v>0</v>
      </c>
      <c r="L143" s="57" t="b">
        <v>0</v>
      </c>
      <c r="M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8"/>
      <c r="J144" s="56">
        <f>IFERROR(__xludf.DUMMYFUNCTION("""COMPUTED_VALUE"""),0.0)</f>
        <v>0</v>
      </c>
      <c r="K144" s="56">
        <f>IFERROR(__xludf.DUMMYFUNCTION("""COMPUTED_VALUE"""),0.0)</f>
        <v>0</v>
      </c>
      <c r="L144" s="57" t="b">
        <v>0</v>
      </c>
      <c r="M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8"/>
      <c r="J145" s="56">
        <f>IFERROR(__xludf.DUMMYFUNCTION("""COMPUTED_VALUE"""),0.0)</f>
        <v>0</v>
      </c>
      <c r="K145" s="56">
        <f>IFERROR(__xludf.DUMMYFUNCTION("""COMPUTED_VALUE"""),0.0)</f>
        <v>0</v>
      </c>
      <c r="L145" s="57" t="b">
        <v>0</v>
      </c>
      <c r="M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8"/>
      <c r="J146" s="56">
        <f>IFERROR(__xludf.DUMMYFUNCTION("""COMPUTED_VALUE"""),0.0)</f>
        <v>0</v>
      </c>
      <c r="K146" s="56">
        <f>IFERROR(__xludf.DUMMYFUNCTION("""COMPUTED_VALUE"""),0.0)</f>
        <v>0</v>
      </c>
      <c r="L146" s="57" t="b">
        <v>0</v>
      </c>
      <c r="M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8"/>
      <c r="J147" s="56">
        <f>IFERROR(__xludf.DUMMYFUNCTION("""COMPUTED_VALUE"""),0.0)</f>
        <v>0</v>
      </c>
      <c r="K147" s="56">
        <f>IFERROR(__xludf.DUMMYFUNCTION("""COMPUTED_VALUE"""),0.0)</f>
        <v>0</v>
      </c>
      <c r="L147" s="57" t="b">
        <v>0</v>
      </c>
      <c r="M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8"/>
      <c r="J148" s="56">
        <f>IFERROR(__xludf.DUMMYFUNCTION("""COMPUTED_VALUE"""),0.0)</f>
        <v>0</v>
      </c>
      <c r="K148" s="56">
        <f>IFERROR(__xludf.DUMMYFUNCTION("""COMPUTED_VALUE"""),0.0)</f>
        <v>0</v>
      </c>
      <c r="L148" s="57" t="b">
        <v>0</v>
      </c>
      <c r="M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8"/>
      <c r="J149" s="56">
        <f>IFERROR(__xludf.DUMMYFUNCTION("""COMPUTED_VALUE"""),0.0)</f>
        <v>0</v>
      </c>
      <c r="K149" s="56">
        <f>IFERROR(__xludf.DUMMYFUNCTION("""COMPUTED_VALUE"""),0.0)</f>
        <v>0</v>
      </c>
      <c r="L149" s="57" t="b">
        <v>0</v>
      </c>
      <c r="M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8"/>
      <c r="J150" s="56">
        <f>IFERROR(__xludf.DUMMYFUNCTION("""COMPUTED_VALUE"""),0.0)</f>
        <v>0</v>
      </c>
      <c r="K150" s="56">
        <f>IFERROR(__xludf.DUMMYFUNCTION("""COMPUTED_VALUE"""),0.0)</f>
        <v>0</v>
      </c>
      <c r="L150" s="57" t="b">
        <v>0</v>
      </c>
      <c r="M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8"/>
      <c r="J151" s="56">
        <f>IFERROR(__xludf.DUMMYFUNCTION("""COMPUTED_VALUE"""),0.0)</f>
        <v>0</v>
      </c>
      <c r="K151" s="56">
        <f>IFERROR(__xludf.DUMMYFUNCTION("""COMPUTED_VALUE"""),0.0)</f>
        <v>0</v>
      </c>
      <c r="L151" s="57" t="b">
        <v>0</v>
      </c>
      <c r="M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8"/>
      <c r="J152" s="56">
        <f>IFERROR(__xludf.DUMMYFUNCTION("""COMPUTED_VALUE"""),0.0)</f>
        <v>0</v>
      </c>
      <c r="K152" s="56">
        <f>IFERROR(__xludf.DUMMYFUNCTION("""COMPUTED_VALUE"""),0.0)</f>
        <v>0</v>
      </c>
      <c r="L152" s="57" t="b">
        <v>0</v>
      </c>
      <c r="M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8"/>
      <c r="J153" s="56">
        <f>IFERROR(__xludf.DUMMYFUNCTION("""COMPUTED_VALUE"""),0.0)</f>
        <v>0</v>
      </c>
      <c r="K153" s="56">
        <f>IFERROR(__xludf.DUMMYFUNCTION("""COMPUTED_VALUE"""),0.0)</f>
        <v>0</v>
      </c>
      <c r="L153" s="57" t="b">
        <v>0</v>
      </c>
      <c r="M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8"/>
      <c r="J154" s="56">
        <f>IFERROR(__xludf.DUMMYFUNCTION("""COMPUTED_VALUE"""),0.0)</f>
        <v>0</v>
      </c>
      <c r="K154" s="56">
        <f>IFERROR(__xludf.DUMMYFUNCTION("""COMPUTED_VALUE"""),0.0)</f>
        <v>0</v>
      </c>
      <c r="L154" s="57" t="b">
        <v>0</v>
      </c>
      <c r="M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8"/>
      <c r="J155" s="56">
        <f>IFERROR(__xludf.DUMMYFUNCTION("""COMPUTED_VALUE"""),0.0)</f>
        <v>0</v>
      </c>
      <c r="K155" s="56">
        <f>IFERROR(__xludf.DUMMYFUNCTION("""COMPUTED_VALUE"""),0.0)</f>
        <v>0</v>
      </c>
      <c r="L155" s="57" t="b">
        <v>0</v>
      </c>
      <c r="M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8"/>
      <c r="J156" s="56">
        <f>IFERROR(__xludf.DUMMYFUNCTION("""COMPUTED_VALUE"""),0.0)</f>
        <v>0</v>
      </c>
      <c r="K156" s="56">
        <f>IFERROR(__xludf.DUMMYFUNCTION("""COMPUTED_VALUE"""),0.0)</f>
        <v>0</v>
      </c>
      <c r="L156" s="57" t="b">
        <v>0</v>
      </c>
      <c r="M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8"/>
      <c r="J157" s="56">
        <f>IFERROR(__xludf.DUMMYFUNCTION("""COMPUTED_VALUE"""),0.0)</f>
        <v>0</v>
      </c>
      <c r="K157" s="56">
        <f>IFERROR(__xludf.DUMMYFUNCTION("""COMPUTED_VALUE"""),0.0)</f>
        <v>0</v>
      </c>
      <c r="L157" s="57" t="b">
        <v>0</v>
      </c>
      <c r="M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8"/>
      <c r="J158" s="56">
        <f>IFERROR(__xludf.DUMMYFUNCTION("""COMPUTED_VALUE"""),0.0)</f>
        <v>0</v>
      </c>
      <c r="K158" s="56">
        <f>IFERROR(__xludf.DUMMYFUNCTION("""COMPUTED_VALUE"""),0.0)</f>
        <v>0</v>
      </c>
      <c r="L158" s="57" t="b">
        <v>0</v>
      </c>
      <c r="M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8"/>
      <c r="J159" s="56">
        <f>IFERROR(__xludf.DUMMYFUNCTION("""COMPUTED_VALUE"""),0.0)</f>
        <v>0</v>
      </c>
      <c r="K159" s="56">
        <f>IFERROR(__xludf.DUMMYFUNCTION("""COMPUTED_VALUE"""),0.0)</f>
        <v>0</v>
      </c>
      <c r="L159" s="57" t="b">
        <v>0</v>
      </c>
      <c r="M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8"/>
      <c r="J160" s="56">
        <f>IFERROR(__xludf.DUMMYFUNCTION("""COMPUTED_VALUE"""),0.0)</f>
        <v>0</v>
      </c>
      <c r="K160" s="56">
        <f>IFERROR(__xludf.DUMMYFUNCTION("""COMPUTED_VALUE"""),0.0)</f>
        <v>0</v>
      </c>
      <c r="L160" s="57" t="b">
        <v>0</v>
      </c>
      <c r="M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8"/>
      <c r="J161" s="56">
        <f>IFERROR(__xludf.DUMMYFUNCTION("""COMPUTED_VALUE"""),0.0)</f>
        <v>0</v>
      </c>
      <c r="K161" s="56">
        <f>IFERROR(__xludf.DUMMYFUNCTION("""COMPUTED_VALUE"""),0.0)</f>
        <v>0</v>
      </c>
      <c r="L161" s="57" t="b">
        <v>0</v>
      </c>
      <c r="M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8"/>
      <c r="J162" s="56">
        <f>IFERROR(__xludf.DUMMYFUNCTION("""COMPUTED_VALUE"""),0.0)</f>
        <v>0</v>
      </c>
      <c r="K162" s="56">
        <f>IFERROR(__xludf.DUMMYFUNCTION("""COMPUTED_VALUE"""),0.0)</f>
        <v>0</v>
      </c>
      <c r="L162" s="57" t="b">
        <v>0</v>
      </c>
      <c r="M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8"/>
      <c r="J163" s="56">
        <f>IFERROR(__xludf.DUMMYFUNCTION("""COMPUTED_VALUE"""),0.0)</f>
        <v>0</v>
      </c>
      <c r="K163" s="56">
        <f>IFERROR(__xludf.DUMMYFUNCTION("""COMPUTED_VALUE"""),0.0)</f>
        <v>0</v>
      </c>
      <c r="L163" s="57" t="b">
        <v>0</v>
      </c>
      <c r="M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8"/>
      <c r="J164" s="56">
        <f>IFERROR(__xludf.DUMMYFUNCTION("""COMPUTED_VALUE"""),0.0)</f>
        <v>0</v>
      </c>
      <c r="K164" s="56">
        <f>IFERROR(__xludf.DUMMYFUNCTION("""COMPUTED_VALUE"""),0.0)</f>
        <v>0</v>
      </c>
      <c r="L164" s="57" t="b">
        <v>0</v>
      </c>
      <c r="M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8"/>
      <c r="J165" s="56">
        <f>IFERROR(__xludf.DUMMYFUNCTION("""COMPUTED_VALUE"""),0.0)</f>
        <v>0</v>
      </c>
      <c r="K165" s="56">
        <f>IFERROR(__xludf.DUMMYFUNCTION("""COMPUTED_VALUE"""),0.0)</f>
        <v>0</v>
      </c>
      <c r="L165" s="57" t="b">
        <v>0</v>
      </c>
      <c r="M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8"/>
      <c r="J166" s="56">
        <f>IFERROR(__xludf.DUMMYFUNCTION("""COMPUTED_VALUE"""),0.0)</f>
        <v>0</v>
      </c>
      <c r="K166" s="56">
        <f>IFERROR(__xludf.DUMMYFUNCTION("""COMPUTED_VALUE"""),0.0)</f>
        <v>0</v>
      </c>
      <c r="L166" s="57" t="b">
        <v>0</v>
      </c>
      <c r="M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8"/>
      <c r="J167" s="56">
        <f>IFERROR(__xludf.DUMMYFUNCTION("""COMPUTED_VALUE"""),0.0)</f>
        <v>0</v>
      </c>
      <c r="K167" s="56">
        <f>IFERROR(__xludf.DUMMYFUNCTION("""COMPUTED_VALUE"""),0.0)</f>
        <v>0</v>
      </c>
      <c r="L167" s="57" t="b">
        <v>0</v>
      </c>
      <c r="M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8"/>
      <c r="J168" s="56">
        <f>IFERROR(__xludf.DUMMYFUNCTION("""COMPUTED_VALUE"""),0.0)</f>
        <v>0</v>
      </c>
      <c r="K168" s="56">
        <f>IFERROR(__xludf.DUMMYFUNCTION("""COMPUTED_VALUE"""),0.0)</f>
        <v>0</v>
      </c>
      <c r="L168" s="57" t="b">
        <v>0</v>
      </c>
      <c r="M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8"/>
      <c r="J169" s="56">
        <f>IFERROR(__xludf.DUMMYFUNCTION("""COMPUTED_VALUE"""),0.0)</f>
        <v>0</v>
      </c>
      <c r="K169" s="56">
        <f>IFERROR(__xludf.DUMMYFUNCTION("""COMPUTED_VALUE"""),0.0)</f>
        <v>0</v>
      </c>
      <c r="L169" s="57" t="b">
        <v>0</v>
      </c>
      <c r="M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8"/>
      <c r="J170" s="56">
        <f>IFERROR(__xludf.DUMMYFUNCTION("""COMPUTED_VALUE"""),0.0)</f>
        <v>0</v>
      </c>
      <c r="K170" s="56">
        <f>IFERROR(__xludf.DUMMYFUNCTION("""COMPUTED_VALUE"""),0.0)</f>
        <v>0</v>
      </c>
      <c r="L170" s="57" t="b">
        <v>0</v>
      </c>
      <c r="M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8"/>
      <c r="J171" s="56">
        <f>IFERROR(__xludf.DUMMYFUNCTION("""COMPUTED_VALUE"""),0.0)</f>
        <v>0</v>
      </c>
      <c r="K171" s="56">
        <f>IFERROR(__xludf.DUMMYFUNCTION("""COMPUTED_VALUE"""),0.0)</f>
        <v>0</v>
      </c>
      <c r="L171" s="57" t="b">
        <v>0</v>
      </c>
      <c r="M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8"/>
      <c r="J172" s="56">
        <f>IFERROR(__xludf.DUMMYFUNCTION("""COMPUTED_VALUE"""),0.0)</f>
        <v>0</v>
      </c>
      <c r="K172" s="56">
        <f>IFERROR(__xludf.DUMMYFUNCTION("""COMPUTED_VALUE"""),0.0)</f>
        <v>0</v>
      </c>
      <c r="L172" s="57" t="b">
        <v>0</v>
      </c>
      <c r="M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8"/>
      <c r="J173" s="56">
        <f>IFERROR(__xludf.DUMMYFUNCTION("""COMPUTED_VALUE"""),0.0)</f>
        <v>0</v>
      </c>
      <c r="K173" s="56">
        <f>IFERROR(__xludf.DUMMYFUNCTION("""COMPUTED_VALUE"""),0.0)</f>
        <v>0</v>
      </c>
      <c r="L173" s="57" t="b">
        <v>0</v>
      </c>
      <c r="M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8"/>
      <c r="J174" s="56">
        <f>IFERROR(__xludf.DUMMYFUNCTION("""COMPUTED_VALUE"""),0.0)</f>
        <v>0</v>
      </c>
      <c r="K174" s="56">
        <f>IFERROR(__xludf.DUMMYFUNCTION("""COMPUTED_VALUE"""),0.0)</f>
        <v>0</v>
      </c>
      <c r="L174" s="57" t="b">
        <v>0</v>
      </c>
      <c r="M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8"/>
      <c r="J175" s="56">
        <f>IFERROR(__xludf.DUMMYFUNCTION("""COMPUTED_VALUE"""),0.0)</f>
        <v>0</v>
      </c>
      <c r="K175" s="56">
        <f>IFERROR(__xludf.DUMMYFUNCTION("""COMPUTED_VALUE"""),0.0)</f>
        <v>0</v>
      </c>
      <c r="L175" s="57" t="b">
        <v>0</v>
      </c>
      <c r="M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8"/>
      <c r="J176" s="56">
        <f>IFERROR(__xludf.DUMMYFUNCTION("""COMPUTED_VALUE"""),0.0)</f>
        <v>0</v>
      </c>
      <c r="K176" s="56">
        <f>IFERROR(__xludf.DUMMYFUNCTION("""COMPUTED_VALUE"""),0.0)</f>
        <v>0</v>
      </c>
      <c r="L176" s="57" t="b">
        <v>0</v>
      </c>
      <c r="M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8"/>
      <c r="J177" s="56">
        <f>IFERROR(__xludf.DUMMYFUNCTION("""COMPUTED_VALUE"""),0.0)</f>
        <v>0</v>
      </c>
      <c r="K177" s="56">
        <f>IFERROR(__xludf.DUMMYFUNCTION("""COMPUTED_VALUE"""),0.0)</f>
        <v>0</v>
      </c>
      <c r="L177" s="57" t="b">
        <v>0</v>
      </c>
      <c r="M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8"/>
      <c r="J178" s="56">
        <f>IFERROR(__xludf.DUMMYFUNCTION("""COMPUTED_VALUE"""),0.0)</f>
        <v>0</v>
      </c>
      <c r="K178" s="56">
        <f>IFERROR(__xludf.DUMMYFUNCTION("""COMPUTED_VALUE"""),0.0)</f>
        <v>0</v>
      </c>
      <c r="L178" s="57" t="b">
        <v>0</v>
      </c>
      <c r="M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8"/>
      <c r="J179" s="56">
        <f>IFERROR(__xludf.DUMMYFUNCTION("""COMPUTED_VALUE"""),0.0)</f>
        <v>0</v>
      </c>
      <c r="K179" s="56">
        <f>IFERROR(__xludf.DUMMYFUNCTION("""COMPUTED_VALUE"""),0.0)</f>
        <v>0</v>
      </c>
      <c r="L179" s="57" t="b">
        <v>0</v>
      </c>
      <c r="M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8"/>
      <c r="J180" s="56">
        <f>IFERROR(__xludf.DUMMYFUNCTION("""COMPUTED_VALUE"""),0.0)</f>
        <v>0</v>
      </c>
      <c r="K180" s="56">
        <f>IFERROR(__xludf.DUMMYFUNCTION("""COMPUTED_VALUE"""),0.0)</f>
        <v>0</v>
      </c>
      <c r="L180" s="57" t="b">
        <v>0</v>
      </c>
      <c r="M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8"/>
      <c r="J181" s="56">
        <f>IFERROR(__xludf.DUMMYFUNCTION("""COMPUTED_VALUE"""),0.0)</f>
        <v>0</v>
      </c>
      <c r="K181" s="56">
        <f>IFERROR(__xludf.DUMMYFUNCTION("""COMPUTED_VALUE"""),0.0)</f>
        <v>0</v>
      </c>
      <c r="L181" s="57" t="b">
        <v>0</v>
      </c>
      <c r="M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8"/>
      <c r="J182" s="56">
        <f>IFERROR(__xludf.DUMMYFUNCTION("""COMPUTED_VALUE"""),0.0)</f>
        <v>0</v>
      </c>
      <c r="K182" s="56">
        <f>IFERROR(__xludf.DUMMYFUNCTION("""COMPUTED_VALUE"""),0.0)</f>
        <v>0</v>
      </c>
      <c r="L182" s="57" t="b">
        <v>0</v>
      </c>
      <c r="M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8"/>
      <c r="J183" s="56">
        <f>IFERROR(__xludf.DUMMYFUNCTION("""COMPUTED_VALUE"""),0.0)</f>
        <v>0</v>
      </c>
      <c r="K183" s="56">
        <f>IFERROR(__xludf.DUMMYFUNCTION("""COMPUTED_VALUE"""),0.0)</f>
        <v>0</v>
      </c>
      <c r="L183" s="57" t="b">
        <v>0</v>
      </c>
      <c r="M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8"/>
      <c r="J184" s="56">
        <f>IFERROR(__xludf.DUMMYFUNCTION("""COMPUTED_VALUE"""),0.0)</f>
        <v>0</v>
      </c>
      <c r="K184" s="56">
        <f>IFERROR(__xludf.DUMMYFUNCTION("""COMPUTED_VALUE"""),0.0)</f>
        <v>0</v>
      </c>
      <c r="L184" s="57" t="b">
        <v>0</v>
      </c>
      <c r="M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8"/>
      <c r="J185" s="56">
        <f>IFERROR(__xludf.DUMMYFUNCTION("""COMPUTED_VALUE"""),0.0)</f>
        <v>0</v>
      </c>
      <c r="K185" s="56">
        <f>IFERROR(__xludf.DUMMYFUNCTION("""COMPUTED_VALUE"""),0.0)</f>
        <v>0</v>
      </c>
      <c r="L185" s="57" t="b">
        <v>0</v>
      </c>
      <c r="M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8"/>
      <c r="J186" s="56">
        <f>IFERROR(__xludf.DUMMYFUNCTION("""COMPUTED_VALUE"""),0.0)</f>
        <v>0</v>
      </c>
      <c r="K186" s="56">
        <f>IFERROR(__xludf.DUMMYFUNCTION("""COMPUTED_VALUE"""),0.0)</f>
        <v>0</v>
      </c>
      <c r="L186" s="57" t="b">
        <v>0</v>
      </c>
      <c r="M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8"/>
      <c r="J187" s="56">
        <f>IFERROR(__xludf.DUMMYFUNCTION("""COMPUTED_VALUE"""),0.0)</f>
        <v>0</v>
      </c>
      <c r="K187" s="56">
        <f>IFERROR(__xludf.DUMMYFUNCTION("""COMPUTED_VALUE"""),0.0)</f>
        <v>0</v>
      </c>
      <c r="L187" s="57" t="b">
        <v>0</v>
      </c>
      <c r="M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8"/>
      <c r="J188" s="56">
        <f>IFERROR(__xludf.DUMMYFUNCTION("""COMPUTED_VALUE"""),0.0)</f>
        <v>0</v>
      </c>
      <c r="K188" s="56">
        <f>IFERROR(__xludf.DUMMYFUNCTION("""COMPUTED_VALUE"""),0.0)</f>
        <v>0</v>
      </c>
      <c r="L188" s="57" t="b">
        <v>0</v>
      </c>
      <c r="M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8"/>
      <c r="J189" s="56">
        <f>IFERROR(__xludf.DUMMYFUNCTION("""COMPUTED_VALUE"""),0.0)</f>
        <v>0</v>
      </c>
      <c r="K189" s="56">
        <f>IFERROR(__xludf.DUMMYFUNCTION("""COMPUTED_VALUE"""),0.0)</f>
        <v>0</v>
      </c>
      <c r="L189" s="57" t="b">
        <v>0</v>
      </c>
      <c r="M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8"/>
      <c r="J190" s="56">
        <f>IFERROR(__xludf.DUMMYFUNCTION("""COMPUTED_VALUE"""),0.0)</f>
        <v>0</v>
      </c>
      <c r="K190" s="56">
        <f>IFERROR(__xludf.DUMMYFUNCTION("""COMPUTED_VALUE"""),0.0)</f>
        <v>0</v>
      </c>
      <c r="L190" s="57" t="b">
        <v>0</v>
      </c>
      <c r="M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8"/>
      <c r="J191" s="56">
        <f>IFERROR(__xludf.DUMMYFUNCTION("""COMPUTED_VALUE"""),0.0)</f>
        <v>0</v>
      </c>
      <c r="K191" s="56">
        <f>IFERROR(__xludf.DUMMYFUNCTION("""COMPUTED_VALUE"""),0.0)</f>
        <v>0</v>
      </c>
      <c r="L191" s="57" t="b">
        <v>0</v>
      </c>
      <c r="M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8"/>
      <c r="J192" s="56">
        <f>IFERROR(__xludf.DUMMYFUNCTION("""COMPUTED_VALUE"""),0.0)</f>
        <v>0</v>
      </c>
      <c r="K192" s="56">
        <f>IFERROR(__xludf.DUMMYFUNCTION("""COMPUTED_VALUE"""),0.0)</f>
        <v>0</v>
      </c>
      <c r="L192" s="57" t="b">
        <v>0</v>
      </c>
      <c r="M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8"/>
      <c r="J193" s="56">
        <f>IFERROR(__xludf.DUMMYFUNCTION("""COMPUTED_VALUE"""),0.0)</f>
        <v>0</v>
      </c>
      <c r="K193" s="56">
        <f>IFERROR(__xludf.DUMMYFUNCTION("""COMPUTED_VALUE"""),0.0)</f>
        <v>0</v>
      </c>
      <c r="L193" s="57" t="b">
        <v>0</v>
      </c>
      <c r="M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8"/>
      <c r="J194" s="56">
        <f>IFERROR(__xludf.DUMMYFUNCTION("""COMPUTED_VALUE"""),0.0)</f>
        <v>0</v>
      </c>
      <c r="K194" s="56">
        <f>IFERROR(__xludf.DUMMYFUNCTION("""COMPUTED_VALUE"""),0.0)</f>
        <v>0</v>
      </c>
      <c r="L194" s="57" t="b">
        <v>0</v>
      </c>
      <c r="M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8"/>
      <c r="J195" s="56">
        <f>IFERROR(__xludf.DUMMYFUNCTION("""COMPUTED_VALUE"""),0.0)</f>
        <v>0</v>
      </c>
      <c r="K195" s="56">
        <f>IFERROR(__xludf.DUMMYFUNCTION("""COMPUTED_VALUE"""),0.0)</f>
        <v>0</v>
      </c>
      <c r="L195" s="57" t="b">
        <v>0</v>
      </c>
      <c r="M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8"/>
      <c r="J196" s="56">
        <f>IFERROR(__xludf.DUMMYFUNCTION("""COMPUTED_VALUE"""),0.0)</f>
        <v>0</v>
      </c>
      <c r="K196" s="56">
        <f>IFERROR(__xludf.DUMMYFUNCTION("""COMPUTED_VALUE"""),0.0)</f>
        <v>0</v>
      </c>
      <c r="L196" s="57" t="b">
        <v>0</v>
      </c>
      <c r="M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8"/>
      <c r="J197" s="56">
        <f>IFERROR(__xludf.DUMMYFUNCTION("""COMPUTED_VALUE"""),0.0)</f>
        <v>0</v>
      </c>
      <c r="K197" s="56">
        <f>IFERROR(__xludf.DUMMYFUNCTION("""COMPUTED_VALUE"""),0.0)</f>
        <v>0</v>
      </c>
      <c r="L197" s="57" t="b">
        <v>0</v>
      </c>
      <c r="M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8"/>
      <c r="J198" s="56">
        <f>IFERROR(__xludf.DUMMYFUNCTION("""COMPUTED_VALUE"""),0.0)</f>
        <v>0</v>
      </c>
      <c r="K198" s="56">
        <f>IFERROR(__xludf.DUMMYFUNCTION("""COMPUTED_VALUE"""),0.0)</f>
        <v>0</v>
      </c>
      <c r="L198" s="57" t="b">
        <v>0</v>
      </c>
      <c r="M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8"/>
      <c r="J199" s="56">
        <f>IFERROR(__xludf.DUMMYFUNCTION("""COMPUTED_VALUE"""),0.0)</f>
        <v>0</v>
      </c>
      <c r="K199" s="56">
        <f>IFERROR(__xludf.DUMMYFUNCTION("""COMPUTED_VALUE"""),0.0)</f>
        <v>0</v>
      </c>
      <c r="L199" s="57" t="b">
        <v>0</v>
      </c>
      <c r="M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8"/>
      <c r="J200" s="56">
        <f>IFERROR(__xludf.DUMMYFUNCTION("""COMPUTED_VALUE"""),0.0)</f>
        <v>0</v>
      </c>
      <c r="K200" s="56">
        <f>IFERROR(__xludf.DUMMYFUNCTION("""COMPUTED_VALUE"""),0.0)</f>
        <v>0</v>
      </c>
      <c r="L200" s="57" t="b">
        <v>0</v>
      </c>
      <c r="M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8"/>
      <c r="J201" s="56">
        <f>IFERROR(__xludf.DUMMYFUNCTION("""COMPUTED_VALUE"""),0.0)</f>
        <v>0</v>
      </c>
      <c r="K201" s="56">
        <f>IFERROR(__xludf.DUMMYFUNCTION("""COMPUTED_VALUE"""),0.0)</f>
        <v>0</v>
      </c>
      <c r="L201" s="57" t="b">
        <v>0</v>
      </c>
      <c r="M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8"/>
      <c r="J202" s="56">
        <f>IFERROR(__xludf.DUMMYFUNCTION("""COMPUTED_VALUE"""),0.0)</f>
        <v>0</v>
      </c>
      <c r="K202" s="56">
        <f>IFERROR(__xludf.DUMMYFUNCTION("""COMPUTED_VALUE"""),0.0)</f>
        <v>0</v>
      </c>
      <c r="L202" s="57" t="b">
        <v>0</v>
      </c>
      <c r="M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8"/>
      <c r="J203" s="56">
        <f>IFERROR(__xludf.DUMMYFUNCTION("""COMPUTED_VALUE"""),0.0)</f>
        <v>0</v>
      </c>
      <c r="K203" s="56">
        <f>IFERROR(__xludf.DUMMYFUNCTION("""COMPUTED_VALUE"""),0.0)</f>
        <v>0</v>
      </c>
      <c r="L203" s="57" t="b">
        <v>0</v>
      </c>
      <c r="M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8"/>
      <c r="J204" s="56">
        <f>IFERROR(__xludf.DUMMYFUNCTION("""COMPUTED_VALUE"""),0.0)</f>
        <v>0</v>
      </c>
      <c r="K204" s="56">
        <f>IFERROR(__xludf.DUMMYFUNCTION("""COMPUTED_VALUE"""),0.0)</f>
        <v>0</v>
      </c>
      <c r="L204" s="57" t="b">
        <v>0</v>
      </c>
      <c r="M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8"/>
      <c r="J205" s="56">
        <f>IFERROR(__xludf.DUMMYFUNCTION("""COMPUTED_VALUE"""),0.0)</f>
        <v>0</v>
      </c>
      <c r="K205" s="56">
        <f>IFERROR(__xludf.DUMMYFUNCTION("""COMPUTED_VALUE"""),0.0)</f>
        <v>0</v>
      </c>
      <c r="L205" s="57" t="b">
        <v>0</v>
      </c>
      <c r="M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8"/>
      <c r="J206" s="56">
        <f>IFERROR(__xludf.DUMMYFUNCTION("""COMPUTED_VALUE"""),0.0)</f>
        <v>0</v>
      </c>
      <c r="K206" s="56">
        <f>IFERROR(__xludf.DUMMYFUNCTION("""COMPUTED_VALUE"""),0.0)</f>
        <v>0</v>
      </c>
      <c r="L206" s="57" t="b">
        <v>0</v>
      </c>
      <c r="M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8"/>
      <c r="J207" s="56">
        <f>IFERROR(__xludf.DUMMYFUNCTION("""COMPUTED_VALUE"""),0.0)</f>
        <v>0</v>
      </c>
      <c r="K207" s="56">
        <f>IFERROR(__xludf.DUMMYFUNCTION("""COMPUTED_VALUE"""),0.0)</f>
        <v>0</v>
      </c>
      <c r="L207" s="57" t="b">
        <v>0</v>
      </c>
      <c r="M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8"/>
      <c r="J208" s="56">
        <f>IFERROR(__xludf.DUMMYFUNCTION("""COMPUTED_VALUE"""),0.0)</f>
        <v>0</v>
      </c>
      <c r="K208" s="56">
        <f>IFERROR(__xludf.DUMMYFUNCTION("""COMPUTED_VALUE"""),0.0)</f>
        <v>0</v>
      </c>
      <c r="L208" s="57" t="b">
        <v>0</v>
      </c>
      <c r="M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8"/>
      <c r="J209" s="56">
        <f>IFERROR(__xludf.DUMMYFUNCTION("""COMPUTED_VALUE"""),0.0)</f>
        <v>0</v>
      </c>
      <c r="K209" s="56">
        <f>IFERROR(__xludf.DUMMYFUNCTION("""COMPUTED_VALUE"""),0.0)</f>
        <v>0</v>
      </c>
      <c r="L209" s="57" t="b">
        <v>0</v>
      </c>
      <c r="M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8"/>
      <c r="J210" s="56">
        <f>IFERROR(__xludf.DUMMYFUNCTION("""COMPUTED_VALUE"""),0.0)</f>
        <v>0</v>
      </c>
      <c r="K210" s="56">
        <f>IFERROR(__xludf.DUMMYFUNCTION("""COMPUTED_VALUE"""),0.0)</f>
        <v>0</v>
      </c>
      <c r="L210" s="57" t="b">
        <v>0</v>
      </c>
      <c r="M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8"/>
      <c r="J211" s="56">
        <f>IFERROR(__xludf.DUMMYFUNCTION("""COMPUTED_VALUE"""),0.0)</f>
        <v>0</v>
      </c>
      <c r="K211" s="56">
        <f>IFERROR(__xludf.DUMMYFUNCTION("""COMPUTED_VALUE"""),0.0)</f>
        <v>0</v>
      </c>
      <c r="L211" s="57" t="b">
        <v>0</v>
      </c>
      <c r="M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8"/>
      <c r="J212" s="56">
        <f>IFERROR(__xludf.DUMMYFUNCTION("""COMPUTED_VALUE"""),0.0)</f>
        <v>0</v>
      </c>
      <c r="K212" s="56">
        <f>IFERROR(__xludf.DUMMYFUNCTION("""COMPUTED_VALUE"""),0.0)</f>
        <v>0</v>
      </c>
      <c r="L212" s="57" t="b">
        <v>0</v>
      </c>
      <c r="M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8"/>
      <c r="J213" s="56">
        <f>IFERROR(__xludf.DUMMYFUNCTION("""COMPUTED_VALUE"""),0.0)</f>
        <v>0</v>
      </c>
      <c r="K213" s="56">
        <f>IFERROR(__xludf.DUMMYFUNCTION("""COMPUTED_VALUE"""),0.0)</f>
        <v>0</v>
      </c>
      <c r="L213" s="57" t="b">
        <v>0</v>
      </c>
      <c r="M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8"/>
      <c r="J214" s="56">
        <f>IFERROR(__xludf.DUMMYFUNCTION("""COMPUTED_VALUE"""),0.0)</f>
        <v>0</v>
      </c>
      <c r="K214" s="56">
        <f>IFERROR(__xludf.DUMMYFUNCTION("""COMPUTED_VALUE"""),0.0)</f>
        <v>0</v>
      </c>
      <c r="L214" s="57" t="b">
        <v>0</v>
      </c>
      <c r="M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8"/>
      <c r="J215" s="56">
        <f>IFERROR(__xludf.DUMMYFUNCTION("""COMPUTED_VALUE"""),0.0)</f>
        <v>0</v>
      </c>
      <c r="K215" s="56">
        <f>IFERROR(__xludf.DUMMYFUNCTION("""COMPUTED_VALUE"""),0.0)</f>
        <v>0</v>
      </c>
      <c r="L215" s="57" t="b">
        <v>0</v>
      </c>
      <c r="M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8"/>
      <c r="J216" s="56">
        <f>IFERROR(__xludf.DUMMYFUNCTION("""COMPUTED_VALUE"""),0.0)</f>
        <v>0</v>
      </c>
      <c r="K216" s="56">
        <f>IFERROR(__xludf.DUMMYFUNCTION("""COMPUTED_VALUE"""),0.0)</f>
        <v>0</v>
      </c>
      <c r="L216" s="57" t="b">
        <v>0</v>
      </c>
      <c r="M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8"/>
      <c r="J217" s="56">
        <f>IFERROR(__xludf.DUMMYFUNCTION("""COMPUTED_VALUE"""),0.0)</f>
        <v>0</v>
      </c>
      <c r="K217" s="56">
        <f>IFERROR(__xludf.DUMMYFUNCTION("""COMPUTED_VALUE"""),0.0)</f>
        <v>0</v>
      </c>
      <c r="L217" s="57" t="b">
        <v>0</v>
      </c>
      <c r="M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8"/>
      <c r="J218" s="57"/>
      <c r="K218" s="57"/>
      <c r="L218" s="57" t="b">
        <v>0</v>
      </c>
      <c r="M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8"/>
      <c r="J219" s="57"/>
      <c r="K219" s="57"/>
      <c r="L219" s="57" t="b">
        <v>0</v>
      </c>
      <c r="M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8"/>
      <c r="J220" s="57"/>
      <c r="K220" s="57"/>
      <c r="L220" s="57" t="b">
        <v>0</v>
      </c>
      <c r="M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8"/>
      <c r="J221" s="57"/>
      <c r="K221" s="57"/>
      <c r="L221" s="57" t="b">
        <v>0</v>
      </c>
      <c r="M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8"/>
      <c r="J222" s="57"/>
      <c r="K222" s="57"/>
      <c r="L222" s="57" t="b">
        <v>0</v>
      </c>
      <c r="M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8"/>
      <c r="J223" s="57"/>
      <c r="K223" s="57"/>
      <c r="L223" s="57" t="b">
        <v>0</v>
      </c>
      <c r="M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8"/>
      <c r="J224" s="57"/>
      <c r="K224" s="57"/>
      <c r="L224" s="57" t="b">
        <v>0</v>
      </c>
      <c r="M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8"/>
      <c r="J225" s="57"/>
      <c r="K225" s="57"/>
      <c r="L225" s="57" t="b">
        <v>0</v>
      </c>
      <c r="M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8"/>
      <c r="J226" s="57"/>
      <c r="K226" s="57"/>
      <c r="L226" s="57" t="b">
        <v>0</v>
      </c>
      <c r="M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8"/>
      <c r="J227" s="57"/>
      <c r="K227" s="57"/>
      <c r="L227" s="57" t="b">
        <v>0</v>
      </c>
      <c r="M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8"/>
      <c r="J228" s="57"/>
      <c r="K228" s="57"/>
      <c r="L228" s="57" t="b">
        <v>0</v>
      </c>
      <c r="M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8"/>
      <c r="J229" s="57"/>
      <c r="K229" s="57"/>
      <c r="L229" s="57" t="b">
        <v>0</v>
      </c>
      <c r="M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8"/>
      <c r="J230" s="57"/>
      <c r="K230" s="57"/>
      <c r="L230" s="57" t="b">
        <v>0</v>
      </c>
      <c r="M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8"/>
      <c r="J231" s="57"/>
      <c r="K231" s="57"/>
      <c r="L231" s="57" t="b">
        <v>0</v>
      </c>
      <c r="M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8"/>
      <c r="J232" s="57"/>
      <c r="K232" s="57"/>
      <c r="L232" s="57" t="b">
        <v>0</v>
      </c>
      <c r="M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8"/>
      <c r="J233" s="57"/>
      <c r="K233" s="57"/>
      <c r="L233" s="57" t="b">
        <v>0</v>
      </c>
      <c r="M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8"/>
      <c r="J234" s="57"/>
      <c r="K234" s="57"/>
      <c r="L234" s="57" t="b">
        <v>0</v>
      </c>
      <c r="M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8"/>
      <c r="J235" s="57"/>
      <c r="K235" s="57"/>
      <c r="L235" s="57" t="b">
        <v>0</v>
      </c>
      <c r="M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8"/>
      <c r="J236" s="57"/>
      <c r="K236" s="57"/>
      <c r="L236" s="57" t="b">
        <v>0</v>
      </c>
      <c r="M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8"/>
      <c r="J237" s="57"/>
      <c r="K237" s="57"/>
      <c r="L237" s="57" t="b">
        <v>0</v>
      </c>
      <c r="M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8"/>
      <c r="J238" s="57"/>
      <c r="K238" s="57"/>
      <c r="L238" s="57" t="b">
        <v>0</v>
      </c>
      <c r="M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8"/>
      <c r="J239" s="57"/>
      <c r="K239" s="57"/>
      <c r="L239" s="57" t="b">
        <v>0</v>
      </c>
      <c r="M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8"/>
      <c r="J240" s="57"/>
      <c r="K240" s="57"/>
      <c r="L240" s="57" t="b">
        <v>0</v>
      </c>
      <c r="M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8"/>
      <c r="J241" s="57"/>
      <c r="K241" s="57"/>
      <c r="L241" s="57" t="b">
        <v>0</v>
      </c>
      <c r="M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8"/>
      <c r="J242" s="57"/>
      <c r="K242" s="57"/>
      <c r="L242" s="57" t="b">
        <v>0</v>
      </c>
      <c r="M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8"/>
      <c r="J243" s="57"/>
      <c r="K243" s="57"/>
      <c r="L243" s="57" t="b">
        <v>0</v>
      </c>
      <c r="M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8"/>
      <c r="J244" s="57"/>
      <c r="K244" s="57"/>
      <c r="L244" s="57" t="b">
        <v>0</v>
      </c>
      <c r="M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8"/>
      <c r="J245" s="57"/>
      <c r="K245" s="57"/>
      <c r="L245" s="57" t="b">
        <v>0</v>
      </c>
      <c r="M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8"/>
      <c r="J246" s="57"/>
      <c r="K246" s="57"/>
      <c r="L246" s="57" t="b">
        <v>0</v>
      </c>
      <c r="M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8"/>
      <c r="J247" s="57"/>
      <c r="K247" s="57"/>
      <c r="L247" s="57" t="b">
        <v>0</v>
      </c>
      <c r="M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8"/>
      <c r="J248" s="57"/>
      <c r="K248" s="57"/>
      <c r="L248" s="57" t="b">
        <v>0</v>
      </c>
      <c r="M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8"/>
      <c r="J249" s="57"/>
      <c r="K249" s="57"/>
      <c r="L249" s="57" t="b">
        <v>0</v>
      </c>
      <c r="M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8"/>
      <c r="J250" s="57"/>
      <c r="K250" s="57"/>
      <c r="L250" s="57" t="b">
        <v>0</v>
      </c>
      <c r="M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8"/>
      <c r="J251" s="57"/>
      <c r="K251" s="57"/>
      <c r="L251" s="57" t="b">
        <v>0</v>
      </c>
      <c r="M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8"/>
      <c r="J252" s="57"/>
      <c r="K252" s="57"/>
      <c r="L252" s="57" t="b">
        <v>0</v>
      </c>
      <c r="M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8"/>
      <c r="J253" s="57"/>
      <c r="K253" s="57"/>
      <c r="L253" s="57" t="b">
        <v>0</v>
      </c>
      <c r="M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8"/>
      <c r="J254" s="57"/>
      <c r="K254" s="57"/>
      <c r="L254" s="57" t="b">
        <v>0</v>
      </c>
      <c r="M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8"/>
      <c r="J255" s="57"/>
      <c r="K255" s="57"/>
      <c r="L255" s="57" t="b">
        <v>0</v>
      </c>
      <c r="M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8"/>
      <c r="J256" s="57"/>
      <c r="K256" s="57"/>
      <c r="L256" s="57" t="b">
        <v>0</v>
      </c>
      <c r="M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8"/>
      <c r="J257" s="57"/>
      <c r="K257" s="57"/>
      <c r="L257" s="57" t="b">
        <v>0</v>
      </c>
      <c r="M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8"/>
      <c r="J258" s="57"/>
      <c r="K258" s="57"/>
      <c r="L258" s="57" t="b">
        <v>0</v>
      </c>
      <c r="M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8"/>
      <c r="J259" s="57"/>
      <c r="K259" s="57"/>
      <c r="L259" s="57" t="b">
        <v>0</v>
      </c>
      <c r="M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8"/>
      <c r="J260" s="57"/>
      <c r="K260" s="57"/>
      <c r="L260" s="57" t="b">
        <v>0</v>
      </c>
      <c r="M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8"/>
      <c r="J261" s="57"/>
      <c r="K261" s="57"/>
      <c r="L261" s="57" t="b">
        <v>0</v>
      </c>
      <c r="M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8"/>
      <c r="J262" s="57"/>
      <c r="K262" s="57"/>
      <c r="L262" s="57" t="b">
        <v>0</v>
      </c>
      <c r="M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8"/>
      <c r="J263" s="57"/>
      <c r="K263" s="57"/>
      <c r="L263" s="57" t="b">
        <v>0</v>
      </c>
      <c r="M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8"/>
      <c r="J264" s="57"/>
      <c r="K264" s="57"/>
      <c r="L264" s="57" t="b">
        <v>0</v>
      </c>
      <c r="M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8"/>
      <c r="J265" s="57"/>
      <c r="K265" s="57"/>
      <c r="L265" s="57" t="b">
        <v>0</v>
      </c>
      <c r="M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8"/>
      <c r="J266" s="57"/>
      <c r="K266" s="57"/>
      <c r="L266" s="57" t="b">
        <v>0</v>
      </c>
      <c r="M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8"/>
      <c r="J267" s="57"/>
      <c r="K267" s="57"/>
      <c r="L267" s="57" t="b">
        <v>0</v>
      </c>
      <c r="M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8"/>
      <c r="J268" s="57"/>
      <c r="K268" s="57"/>
      <c r="L268" s="57" t="b">
        <v>0</v>
      </c>
      <c r="M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8"/>
      <c r="J269" s="57"/>
      <c r="K269" s="57"/>
      <c r="L269" s="57" t="b">
        <v>0</v>
      </c>
      <c r="M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8"/>
      <c r="J270" s="57"/>
      <c r="K270" s="57"/>
      <c r="L270" s="57" t="b">
        <v>0</v>
      </c>
      <c r="M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8"/>
      <c r="J271" s="57"/>
      <c r="K271" s="57"/>
      <c r="L271" s="57" t="b">
        <v>0</v>
      </c>
      <c r="M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8"/>
      <c r="J272" s="57"/>
      <c r="K272" s="57"/>
      <c r="L272" s="57" t="b">
        <v>0</v>
      </c>
      <c r="M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8"/>
      <c r="J273" s="57"/>
      <c r="K273" s="57"/>
      <c r="L273" s="57" t="b">
        <v>0</v>
      </c>
      <c r="M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8"/>
      <c r="J274" s="57"/>
      <c r="K274" s="57"/>
      <c r="L274" s="57" t="b">
        <v>0</v>
      </c>
      <c r="M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8"/>
      <c r="J275" s="57"/>
      <c r="K275" s="57"/>
      <c r="L275" s="57" t="b">
        <v>0</v>
      </c>
      <c r="M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8"/>
      <c r="J276" s="57"/>
      <c r="K276" s="57"/>
      <c r="L276" s="57" t="b">
        <v>0</v>
      </c>
      <c r="M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8"/>
      <c r="J277" s="57"/>
      <c r="K277" s="57"/>
      <c r="L277" s="57" t="b">
        <v>0</v>
      </c>
      <c r="M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8"/>
      <c r="J278" s="57"/>
      <c r="K278" s="57"/>
      <c r="L278" s="57" t="b">
        <v>0</v>
      </c>
      <c r="M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8"/>
      <c r="J279" s="57"/>
      <c r="K279" s="57"/>
      <c r="L279" s="57" t="b">
        <v>0</v>
      </c>
      <c r="M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8"/>
      <c r="J280" s="57"/>
      <c r="K280" s="57"/>
      <c r="L280" s="57" t="b">
        <v>0</v>
      </c>
      <c r="M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8"/>
      <c r="J281" s="57"/>
      <c r="K281" s="57"/>
      <c r="L281" s="57" t="b">
        <v>0</v>
      </c>
      <c r="M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8"/>
      <c r="J282" s="57"/>
      <c r="K282" s="57"/>
      <c r="L282" s="57" t="b">
        <v>0</v>
      </c>
      <c r="M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8"/>
      <c r="J283" s="57"/>
      <c r="K283" s="57"/>
      <c r="L283" s="57" t="b">
        <v>0</v>
      </c>
      <c r="M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8"/>
      <c r="J284" s="57"/>
      <c r="K284" s="57"/>
      <c r="L284" s="57" t="b">
        <v>0</v>
      </c>
      <c r="M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8"/>
      <c r="J285" s="57"/>
      <c r="K285" s="57"/>
      <c r="L285" s="57" t="b">
        <v>0</v>
      </c>
      <c r="M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8"/>
      <c r="J286" s="57"/>
      <c r="K286" s="57"/>
      <c r="L286" s="57" t="b">
        <v>0</v>
      </c>
      <c r="M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8"/>
      <c r="J287" s="57"/>
      <c r="K287" s="57"/>
      <c r="L287" s="57" t="b">
        <v>0</v>
      </c>
      <c r="M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8"/>
      <c r="J288" s="57"/>
      <c r="K288" s="57"/>
      <c r="L288" s="57" t="b">
        <v>0</v>
      </c>
      <c r="M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8"/>
      <c r="J289" s="57"/>
      <c r="K289" s="57"/>
      <c r="L289" s="57" t="b">
        <v>0</v>
      </c>
      <c r="M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8"/>
      <c r="J290" s="57"/>
      <c r="K290" s="57"/>
      <c r="L290" s="57" t="b">
        <v>0</v>
      </c>
      <c r="M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8"/>
      <c r="J291" s="57"/>
      <c r="K291" s="57"/>
      <c r="L291" s="57" t="b">
        <v>0</v>
      </c>
      <c r="M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8"/>
      <c r="J292" s="57"/>
      <c r="K292" s="57"/>
      <c r="L292" s="57" t="b">
        <v>0</v>
      </c>
      <c r="M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8"/>
      <c r="J293" s="57"/>
      <c r="K293" s="57"/>
      <c r="L293" s="57" t="b">
        <v>0</v>
      </c>
      <c r="M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8"/>
      <c r="J294" s="57"/>
      <c r="K294" s="57"/>
      <c r="L294" s="57" t="b">
        <v>0</v>
      </c>
      <c r="M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8"/>
      <c r="J295" s="57"/>
      <c r="K295" s="57"/>
      <c r="L295" s="57" t="b">
        <v>0</v>
      </c>
      <c r="M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8"/>
      <c r="J296" s="57"/>
      <c r="K296" s="57"/>
      <c r="L296" s="57" t="b">
        <v>0</v>
      </c>
      <c r="M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8"/>
      <c r="J297" s="57"/>
      <c r="K297" s="57"/>
      <c r="L297" s="57" t="b">
        <v>0</v>
      </c>
      <c r="M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8"/>
      <c r="J298" s="57"/>
      <c r="K298" s="57"/>
      <c r="L298" s="57" t="b">
        <v>0</v>
      </c>
      <c r="M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8"/>
      <c r="J299" s="57"/>
      <c r="K299" s="57"/>
      <c r="L299" s="57" t="b">
        <v>0</v>
      </c>
      <c r="M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8"/>
      <c r="J300" s="57"/>
      <c r="K300" s="57"/>
      <c r="L300" s="57" t="b">
        <v>0</v>
      </c>
      <c r="M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8"/>
      <c r="J301" s="57"/>
      <c r="K301" s="57"/>
      <c r="L301" s="57" t="b">
        <v>0</v>
      </c>
      <c r="M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8"/>
      <c r="J302" s="57"/>
      <c r="K302" s="57"/>
      <c r="L302" s="57" t="b">
        <v>0</v>
      </c>
      <c r="M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8"/>
      <c r="J303" s="57"/>
      <c r="K303" s="57"/>
      <c r="L303" s="57" t="b">
        <v>0</v>
      </c>
      <c r="M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8"/>
      <c r="J304" s="57"/>
      <c r="K304" s="57"/>
      <c r="L304" s="57" t="b">
        <v>0</v>
      </c>
      <c r="M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8"/>
      <c r="J305" s="57"/>
      <c r="K305" s="57"/>
      <c r="L305" s="57" t="b">
        <v>0</v>
      </c>
      <c r="M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8"/>
      <c r="J306" s="57"/>
      <c r="K306" s="57"/>
      <c r="L306" s="57" t="b">
        <v>0</v>
      </c>
      <c r="M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8"/>
      <c r="J307" s="57"/>
      <c r="K307" s="57"/>
      <c r="L307" s="57" t="b">
        <v>0</v>
      </c>
      <c r="M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8"/>
      <c r="J308" s="57"/>
      <c r="K308" s="57"/>
      <c r="L308" s="57" t="b">
        <v>0</v>
      </c>
      <c r="M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8"/>
      <c r="J309" s="57"/>
      <c r="K309" s="57"/>
      <c r="L309" s="57" t="b">
        <v>0</v>
      </c>
      <c r="M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8"/>
      <c r="J310" s="57"/>
      <c r="K310" s="57"/>
      <c r="L310" s="57" t="b">
        <v>0</v>
      </c>
      <c r="M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8"/>
      <c r="J311" s="57"/>
      <c r="K311" s="57"/>
      <c r="L311" s="57" t="b">
        <v>0</v>
      </c>
      <c r="M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8"/>
      <c r="J312" s="57"/>
      <c r="K312" s="57"/>
      <c r="L312" s="57" t="b">
        <v>0</v>
      </c>
      <c r="M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8"/>
      <c r="J313" s="57"/>
      <c r="K313" s="57"/>
      <c r="L313" s="57" t="b">
        <v>0</v>
      </c>
      <c r="M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8"/>
      <c r="J314" s="57"/>
      <c r="K314" s="57"/>
      <c r="L314" s="57" t="b">
        <v>0</v>
      </c>
      <c r="M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8"/>
      <c r="J315" s="57"/>
      <c r="K315" s="57"/>
      <c r="L315" s="57" t="b">
        <v>0</v>
      </c>
      <c r="M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8"/>
      <c r="J316" s="57"/>
      <c r="K316" s="57"/>
      <c r="L316" s="57" t="b">
        <v>0</v>
      </c>
      <c r="M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8"/>
      <c r="J317" s="57"/>
      <c r="K317" s="57"/>
      <c r="L317" s="57" t="b">
        <v>0</v>
      </c>
      <c r="M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8"/>
      <c r="J318" s="57"/>
      <c r="K318" s="57"/>
      <c r="L318" s="57" t="b">
        <v>0</v>
      </c>
      <c r="M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8"/>
      <c r="J319" s="57"/>
      <c r="K319" s="57"/>
      <c r="L319" s="57" t="b">
        <v>0</v>
      </c>
      <c r="M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8"/>
      <c r="J320" s="57"/>
      <c r="K320" s="57"/>
      <c r="L320" s="57" t="b">
        <v>0</v>
      </c>
      <c r="M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8"/>
      <c r="J321" s="57"/>
      <c r="K321" s="57"/>
      <c r="L321" s="57" t="b">
        <v>0</v>
      </c>
      <c r="M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8"/>
      <c r="J322" s="57"/>
      <c r="K322" s="57"/>
      <c r="L322" s="57" t="b">
        <v>0</v>
      </c>
      <c r="M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8"/>
      <c r="J323" s="57"/>
      <c r="K323" s="57"/>
      <c r="L323" s="57" t="b">
        <v>0</v>
      </c>
      <c r="M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8"/>
      <c r="J324" s="57"/>
      <c r="K324" s="57"/>
      <c r="L324" s="57" t="b">
        <v>0</v>
      </c>
      <c r="M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8"/>
      <c r="J325" s="57"/>
      <c r="K325" s="57"/>
      <c r="L325" s="57" t="b">
        <v>0</v>
      </c>
      <c r="M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8"/>
      <c r="J326" s="57"/>
      <c r="K326" s="57"/>
      <c r="L326" s="57" t="b">
        <v>0</v>
      </c>
      <c r="M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8"/>
      <c r="J327" s="57"/>
      <c r="K327" s="57"/>
      <c r="L327" s="57" t="b">
        <v>0</v>
      </c>
      <c r="M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8"/>
      <c r="J328" s="57"/>
      <c r="K328" s="57"/>
      <c r="L328" s="57" t="b">
        <v>0</v>
      </c>
      <c r="M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8"/>
      <c r="J329" s="57"/>
      <c r="K329" s="57"/>
      <c r="L329" s="57" t="b">
        <v>0</v>
      </c>
      <c r="M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8"/>
      <c r="J330" s="57"/>
      <c r="K330" s="57"/>
      <c r="L330" s="57" t="b">
        <v>0</v>
      </c>
      <c r="M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8"/>
      <c r="J331" s="57"/>
      <c r="K331" s="57"/>
      <c r="L331" s="57" t="b">
        <v>0</v>
      </c>
      <c r="M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8"/>
      <c r="J332" s="57"/>
      <c r="K332" s="57"/>
      <c r="L332" s="57" t="b">
        <v>0</v>
      </c>
      <c r="M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8"/>
      <c r="J333" s="57"/>
      <c r="K333" s="57"/>
      <c r="L333" s="57" t="b">
        <v>0</v>
      </c>
      <c r="M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8"/>
      <c r="J334" s="57"/>
      <c r="K334" s="57"/>
      <c r="L334" s="57" t="b">
        <v>0</v>
      </c>
      <c r="M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8"/>
      <c r="J335" s="57"/>
      <c r="K335" s="57"/>
      <c r="L335" s="57" t="b">
        <v>0</v>
      </c>
      <c r="M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8"/>
      <c r="J336" s="57"/>
      <c r="K336" s="57"/>
      <c r="L336" s="57" t="b">
        <v>0</v>
      </c>
      <c r="M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8"/>
      <c r="J337" s="57"/>
      <c r="K337" s="57"/>
      <c r="L337" s="57" t="b">
        <v>0</v>
      </c>
      <c r="M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8"/>
      <c r="J338" s="57"/>
      <c r="K338" s="57"/>
      <c r="L338" s="57" t="b">
        <v>0</v>
      </c>
      <c r="M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8"/>
      <c r="J339" s="57"/>
      <c r="K339" s="57"/>
      <c r="L339" s="57" t="b">
        <v>0</v>
      </c>
      <c r="M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8"/>
      <c r="J340" s="57"/>
      <c r="K340" s="57"/>
      <c r="L340" s="57" t="b">
        <v>0</v>
      </c>
      <c r="M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8"/>
      <c r="J341" s="57"/>
      <c r="K341" s="57"/>
      <c r="L341" s="57" t="b">
        <v>0</v>
      </c>
      <c r="M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8"/>
      <c r="J342" s="57"/>
      <c r="K342" s="57"/>
      <c r="L342" s="57" t="b">
        <v>0</v>
      </c>
      <c r="M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8"/>
      <c r="J343" s="57"/>
      <c r="K343" s="57"/>
      <c r="L343" s="57" t="b">
        <v>0</v>
      </c>
      <c r="M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8"/>
      <c r="J344" s="57"/>
      <c r="K344" s="57"/>
      <c r="L344" s="57" t="b">
        <v>0</v>
      </c>
      <c r="M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8"/>
      <c r="J345" s="57"/>
      <c r="K345" s="57"/>
      <c r="L345" s="57" t="b">
        <v>0</v>
      </c>
      <c r="M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8"/>
      <c r="J346" s="57"/>
      <c r="K346" s="57"/>
      <c r="L346" s="57" t="b">
        <v>0</v>
      </c>
      <c r="M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8"/>
      <c r="J347" s="57"/>
      <c r="K347" s="57"/>
      <c r="L347" s="57" t="b">
        <v>0</v>
      </c>
      <c r="M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8"/>
      <c r="J348" s="57"/>
      <c r="K348" s="57"/>
      <c r="L348" s="57" t="b">
        <v>0</v>
      </c>
      <c r="M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8"/>
      <c r="J349" s="57"/>
      <c r="K349" s="57"/>
      <c r="L349" s="57" t="b">
        <v>0</v>
      </c>
      <c r="M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8"/>
      <c r="J350" s="57"/>
      <c r="K350" s="57"/>
      <c r="L350" s="57" t="b">
        <v>0</v>
      </c>
      <c r="M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8"/>
      <c r="J351" s="57"/>
      <c r="K351" s="57"/>
      <c r="L351" s="57" t="b">
        <v>0</v>
      </c>
      <c r="M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8"/>
      <c r="J352" s="57"/>
      <c r="K352" s="57"/>
      <c r="L352" s="57" t="b">
        <v>0</v>
      </c>
      <c r="M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8"/>
      <c r="J353" s="57"/>
      <c r="K353" s="57"/>
      <c r="L353" s="57" t="b">
        <v>0</v>
      </c>
      <c r="M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8"/>
      <c r="J354" s="57"/>
      <c r="K354" s="57"/>
      <c r="L354" s="57" t="b">
        <v>0</v>
      </c>
      <c r="M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8"/>
      <c r="J355" s="57"/>
      <c r="K355" s="57"/>
      <c r="L355" s="57" t="b">
        <v>0</v>
      </c>
      <c r="M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8"/>
      <c r="J356" s="57"/>
      <c r="K356" s="57"/>
      <c r="L356" s="57" t="b">
        <v>0</v>
      </c>
      <c r="M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8"/>
      <c r="J357" s="57"/>
      <c r="K357" s="57"/>
      <c r="L357" s="57" t="b">
        <v>0</v>
      </c>
      <c r="M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8"/>
      <c r="J358" s="57"/>
      <c r="K358" s="57"/>
      <c r="L358" s="57" t="b">
        <v>0</v>
      </c>
      <c r="M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8"/>
      <c r="J359" s="57"/>
      <c r="K359" s="57"/>
      <c r="L359" s="57" t="b">
        <v>0</v>
      </c>
      <c r="M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8"/>
      <c r="J360" s="57"/>
      <c r="K360" s="57"/>
      <c r="L360" s="57" t="b">
        <v>0</v>
      </c>
      <c r="M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8"/>
      <c r="J361" s="57"/>
      <c r="K361" s="57"/>
      <c r="L361" s="57" t="b">
        <v>0</v>
      </c>
      <c r="M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8"/>
      <c r="J362" s="57"/>
      <c r="K362" s="57"/>
      <c r="L362" s="57" t="b">
        <v>0</v>
      </c>
      <c r="M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8"/>
      <c r="J363" s="57"/>
      <c r="K363" s="57"/>
      <c r="L363" s="57" t="b">
        <v>0</v>
      </c>
      <c r="M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8"/>
      <c r="J364" s="57"/>
      <c r="K364" s="57"/>
      <c r="L364" s="57" t="b">
        <v>0</v>
      </c>
      <c r="M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8"/>
      <c r="J365" s="57"/>
      <c r="K365" s="57"/>
      <c r="L365" s="57" t="b">
        <v>0</v>
      </c>
      <c r="M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8"/>
      <c r="J366" s="57"/>
      <c r="K366" s="57"/>
      <c r="L366" s="57" t="b">
        <v>0</v>
      </c>
      <c r="M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8"/>
      <c r="J367" s="57"/>
      <c r="K367" s="57"/>
      <c r="L367" s="57" t="b">
        <v>0</v>
      </c>
      <c r="M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8"/>
      <c r="J368" s="57"/>
      <c r="K368" s="57"/>
      <c r="L368" s="57" t="b">
        <v>0</v>
      </c>
      <c r="M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8"/>
      <c r="J369" s="57"/>
      <c r="K369" s="57"/>
      <c r="L369" s="57" t="b">
        <v>0</v>
      </c>
      <c r="M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8"/>
      <c r="J370" s="57"/>
      <c r="K370" s="57"/>
      <c r="L370" s="57" t="b">
        <v>0</v>
      </c>
      <c r="M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8"/>
      <c r="J371" s="57"/>
      <c r="K371" s="57"/>
      <c r="L371" s="57" t="b">
        <v>0</v>
      </c>
      <c r="M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8"/>
      <c r="J372" s="57"/>
      <c r="K372" s="57"/>
      <c r="L372" s="57" t="b">
        <v>0</v>
      </c>
      <c r="M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8"/>
      <c r="J373" s="57"/>
      <c r="K373" s="57"/>
      <c r="L373" s="57" t="b">
        <v>0</v>
      </c>
      <c r="M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8"/>
      <c r="J374" s="57"/>
      <c r="K374" s="57"/>
      <c r="L374" s="57" t="b">
        <v>0</v>
      </c>
      <c r="M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8"/>
      <c r="J375" s="57"/>
      <c r="K375" s="57"/>
      <c r="L375" s="57" t="b">
        <v>0</v>
      </c>
      <c r="M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8"/>
      <c r="J376" s="57"/>
      <c r="K376" s="57"/>
      <c r="L376" s="57" t="b">
        <v>0</v>
      </c>
      <c r="M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8"/>
      <c r="J377" s="57"/>
      <c r="K377" s="57"/>
      <c r="L377" s="57" t="b">
        <v>0</v>
      </c>
      <c r="M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8"/>
      <c r="J378" s="57"/>
      <c r="K378" s="57"/>
      <c r="L378" s="57" t="b">
        <v>0</v>
      </c>
      <c r="M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8"/>
      <c r="J379" s="57"/>
      <c r="K379" s="57"/>
      <c r="L379" s="57" t="b">
        <v>0</v>
      </c>
      <c r="M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8"/>
      <c r="J380" s="57"/>
      <c r="K380" s="57"/>
      <c r="L380" s="57" t="b">
        <v>0</v>
      </c>
      <c r="M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8"/>
      <c r="J381" s="57"/>
      <c r="K381" s="57"/>
      <c r="L381" s="57" t="b">
        <v>0</v>
      </c>
      <c r="M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8"/>
      <c r="J382" s="57"/>
      <c r="K382" s="57"/>
      <c r="L382" s="57" t="b">
        <v>0</v>
      </c>
      <c r="M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8"/>
      <c r="J383" s="57"/>
      <c r="K383" s="57"/>
      <c r="L383" s="57" t="b">
        <v>0</v>
      </c>
      <c r="M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8"/>
      <c r="J384" s="57"/>
      <c r="K384" s="57"/>
      <c r="L384" s="57" t="b">
        <v>0</v>
      </c>
      <c r="M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8"/>
      <c r="J385" s="57"/>
      <c r="K385" s="57"/>
      <c r="L385" s="57" t="b">
        <v>0</v>
      </c>
      <c r="M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8"/>
      <c r="J386" s="57"/>
      <c r="K386" s="57"/>
      <c r="L386" s="57" t="b">
        <v>0</v>
      </c>
      <c r="M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8"/>
      <c r="J387" s="57"/>
      <c r="K387" s="57"/>
      <c r="L387" s="57" t="b">
        <v>0</v>
      </c>
      <c r="M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8"/>
      <c r="J388" s="57"/>
      <c r="K388" s="57"/>
      <c r="L388" s="57" t="b">
        <v>0</v>
      </c>
      <c r="M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8"/>
      <c r="J389" s="57"/>
      <c r="K389" s="57"/>
      <c r="L389" s="57" t="b">
        <v>0</v>
      </c>
      <c r="M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8"/>
      <c r="J390" s="57"/>
      <c r="K390" s="57"/>
      <c r="L390" s="57" t="b">
        <v>0</v>
      </c>
      <c r="M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8"/>
      <c r="J391" s="57"/>
      <c r="K391" s="57"/>
      <c r="L391" s="57" t="b">
        <v>0</v>
      </c>
      <c r="M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8"/>
      <c r="J392" s="57"/>
      <c r="K392" s="57"/>
      <c r="L392" s="57" t="b">
        <v>0</v>
      </c>
      <c r="M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8"/>
      <c r="J393" s="57"/>
      <c r="K393" s="57"/>
      <c r="L393" s="57" t="b">
        <v>0</v>
      </c>
      <c r="M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8"/>
      <c r="J394" s="57"/>
      <c r="K394" s="57"/>
      <c r="L394" s="57" t="b">
        <v>0</v>
      </c>
      <c r="M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8"/>
      <c r="J395" s="57"/>
      <c r="K395" s="57"/>
      <c r="L395" s="57" t="b">
        <v>0</v>
      </c>
      <c r="M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8"/>
      <c r="J396" s="57"/>
      <c r="K396" s="57"/>
      <c r="L396" s="57" t="b">
        <v>0</v>
      </c>
      <c r="M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8"/>
      <c r="J397" s="57"/>
      <c r="K397" s="57"/>
      <c r="L397" s="57" t="b">
        <v>0</v>
      </c>
      <c r="M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8"/>
      <c r="J398" s="57"/>
      <c r="K398" s="57"/>
      <c r="L398" s="57" t="b">
        <v>0</v>
      </c>
      <c r="M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8"/>
      <c r="J399" s="57"/>
      <c r="K399" s="57"/>
      <c r="L399" s="57" t="b">
        <v>0</v>
      </c>
      <c r="M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8"/>
      <c r="J400" s="57"/>
      <c r="K400" s="57"/>
      <c r="L400" s="57" t="b">
        <v>0</v>
      </c>
      <c r="M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8"/>
      <c r="J401" s="57"/>
      <c r="K401" s="57"/>
      <c r="L401" s="57" t="b">
        <v>0</v>
      </c>
      <c r="M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8"/>
      <c r="J402" s="57"/>
      <c r="K402" s="57"/>
      <c r="L402" s="57" t="b">
        <v>0</v>
      </c>
      <c r="M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8"/>
      <c r="J403" s="57"/>
      <c r="K403" s="57"/>
      <c r="L403" s="57" t="b">
        <v>0</v>
      </c>
      <c r="M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8"/>
      <c r="J404" s="57"/>
      <c r="K404" s="57"/>
      <c r="L404" s="57" t="b">
        <v>0</v>
      </c>
      <c r="M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8"/>
      <c r="J405" s="57"/>
      <c r="K405" s="57"/>
      <c r="L405" s="57" t="b">
        <v>0</v>
      </c>
      <c r="M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8"/>
      <c r="J406" s="57"/>
      <c r="K406" s="57"/>
      <c r="L406" s="57" t="b">
        <v>0</v>
      </c>
      <c r="M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8"/>
      <c r="J407" s="57"/>
      <c r="K407" s="57"/>
      <c r="L407" s="57" t="b">
        <v>0</v>
      </c>
      <c r="M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8"/>
      <c r="J408" s="57"/>
      <c r="K408" s="57"/>
      <c r="L408" s="57" t="b">
        <v>0</v>
      </c>
      <c r="M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8"/>
      <c r="J409" s="57"/>
      <c r="K409" s="57"/>
      <c r="L409" s="57" t="b">
        <v>0</v>
      </c>
      <c r="M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8"/>
      <c r="J410" s="57"/>
      <c r="K410" s="57"/>
      <c r="L410" s="57" t="b">
        <v>0</v>
      </c>
      <c r="M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8"/>
      <c r="J411" s="57"/>
      <c r="K411" s="57"/>
      <c r="L411" s="57" t="b">
        <v>0</v>
      </c>
      <c r="M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8"/>
      <c r="J412" s="57"/>
      <c r="K412" s="57"/>
      <c r="L412" s="57" t="b">
        <v>0</v>
      </c>
      <c r="M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8"/>
      <c r="J413" s="57"/>
      <c r="K413" s="57"/>
      <c r="L413" s="57" t="b">
        <v>0</v>
      </c>
      <c r="M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8"/>
      <c r="J414" s="57"/>
      <c r="K414" s="57"/>
      <c r="L414" s="57" t="b">
        <v>0</v>
      </c>
      <c r="M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8"/>
      <c r="J415" s="57"/>
      <c r="K415" s="57"/>
      <c r="L415" s="57" t="b">
        <v>0</v>
      </c>
      <c r="M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8"/>
      <c r="J416" s="57"/>
      <c r="K416" s="57"/>
      <c r="L416" s="57" t="b">
        <v>0</v>
      </c>
      <c r="M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8"/>
      <c r="J417" s="57"/>
      <c r="K417" s="57"/>
      <c r="L417" s="57" t="b">
        <v>0</v>
      </c>
      <c r="M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8"/>
      <c r="J418" s="57"/>
      <c r="K418" s="57"/>
      <c r="L418" s="57" t="b">
        <v>0</v>
      </c>
      <c r="M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8"/>
      <c r="J419" s="57"/>
      <c r="K419" s="57"/>
      <c r="L419" s="57" t="b">
        <v>0</v>
      </c>
      <c r="M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8"/>
      <c r="J420" s="57"/>
      <c r="K420" s="57"/>
      <c r="L420" s="57" t="b">
        <v>0</v>
      </c>
      <c r="M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8"/>
      <c r="J421" s="57"/>
      <c r="K421" s="57"/>
      <c r="L421" s="57" t="b">
        <v>0</v>
      </c>
      <c r="M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8"/>
      <c r="J422" s="57"/>
      <c r="K422" s="57"/>
      <c r="L422" s="57" t="b">
        <v>0</v>
      </c>
      <c r="M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8"/>
      <c r="J423" s="57"/>
      <c r="K423" s="57"/>
      <c r="L423" s="57" t="b">
        <v>0</v>
      </c>
      <c r="M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8"/>
      <c r="J424" s="57"/>
      <c r="K424" s="57"/>
      <c r="L424" s="57" t="b">
        <v>0</v>
      </c>
      <c r="M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8"/>
      <c r="J425" s="57"/>
      <c r="K425" s="57"/>
      <c r="L425" s="57" t="b">
        <v>0</v>
      </c>
      <c r="M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8"/>
      <c r="J426" s="57"/>
      <c r="K426" s="57"/>
      <c r="L426" s="57" t="b">
        <v>0</v>
      </c>
      <c r="M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8"/>
      <c r="J427" s="57"/>
      <c r="K427" s="57"/>
      <c r="L427" s="57" t="b">
        <v>0</v>
      </c>
      <c r="M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8"/>
      <c r="J428" s="57"/>
      <c r="K428" s="57"/>
      <c r="L428" s="57" t="b">
        <v>0</v>
      </c>
      <c r="M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8"/>
      <c r="J429" s="57"/>
      <c r="K429" s="57"/>
      <c r="L429" s="57" t="b">
        <v>0</v>
      </c>
      <c r="M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8"/>
      <c r="J430" s="57"/>
      <c r="K430" s="57"/>
      <c r="L430" s="57" t="b">
        <v>0</v>
      </c>
      <c r="M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8"/>
      <c r="J431" s="57"/>
      <c r="K431" s="57"/>
      <c r="L431" s="57" t="b">
        <v>0</v>
      </c>
      <c r="M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8"/>
      <c r="J432" s="57"/>
      <c r="K432" s="57"/>
      <c r="L432" s="57" t="b">
        <v>0</v>
      </c>
      <c r="M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8"/>
      <c r="J433" s="57"/>
      <c r="K433" s="57"/>
      <c r="L433" s="57" t="b">
        <v>0</v>
      </c>
      <c r="M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8"/>
      <c r="J434" s="57"/>
      <c r="K434" s="57"/>
      <c r="L434" s="57" t="b">
        <v>0</v>
      </c>
      <c r="M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8"/>
      <c r="J435" s="57"/>
      <c r="K435" s="57"/>
      <c r="L435" s="57" t="b">
        <v>0</v>
      </c>
      <c r="M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8"/>
      <c r="J436" s="57"/>
      <c r="K436" s="57"/>
      <c r="L436" s="57" t="b">
        <v>0</v>
      </c>
      <c r="M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8"/>
      <c r="J437" s="57"/>
      <c r="K437" s="57"/>
      <c r="L437" s="57" t="b">
        <v>0</v>
      </c>
      <c r="M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8"/>
      <c r="J438" s="57"/>
      <c r="K438" s="57"/>
      <c r="L438" s="57" t="b">
        <v>0</v>
      </c>
      <c r="M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8"/>
      <c r="J439" s="57"/>
      <c r="K439" s="57"/>
      <c r="L439" s="57" t="b">
        <v>0</v>
      </c>
      <c r="M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8"/>
      <c r="J440" s="57"/>
      <c r="K440" s="57"/>
      <c r="L440" s="57" t="b">
        <v>0</v>
      </c>
      <c r="M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8"/>
      <c r="J441" s="57"/>
      <c r="K441" s="57"/>
      <c r="L441" s="57" t="b">
        <v>0</v>
      </c>
      <c r="M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8"/>
      <c r="J442" s="57"/>
      <c r="K442" s="57"/>
      <c r="L442" s="57" t="b">
        <v>0</v>
      </c>
      <c r="M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8"/>
      <c r="J443" s="57"/>
      <c r="K443" s="57"/>
      <c r="L443" s="57" t="b">
        <v>0</v>
      </c>
      <c r="M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8"/>
      <c r="J444" s="57"/>
      <c r="K444" s="57"/>
      <c r="L444" s="57" t="b">
        <v>0</v>
      </c>
      <c r="M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8"/>
      <c r="J445" s="57"/>
      <c r="K445" s="57"/>
      <c r="L445" s="57" t="b">
        <v>0</v>
      </c>
      <c r="M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8"/>
      <c r="J446" s="57"/>
      <c r="K446" s="57"/>
      <c r="L446" s="57" t="b">
        <v>0</v>
      </c>
      <c r="M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8"/>
      <c r="J447" s="57"/>
      <c r="K447" s="57"/>
      <c r="L447" s="57" t="b">
        <v>0</v>
      </c>
      <c r="M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8"/>
      <c r="J448" s="57"/>
      <c r="K448" s="57"/>
      <c r="L448" s="57" t="b">
        <v>0</v>
      </c>
      <c r="M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8"/>
      <c r="J449" s="57"/>
      <c r="K449" s="57"/>
      <c r="L449" s="57" t="b">
        <v>0</v>
      </c>
      <c r="M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8"/>
      <c r="J450" s="57"/>
      <c r="K450" s="57"/>
      <c r="L450" s="57" t="b">
        <v>0</v>
      </c>
      <c r="M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8"/>
      <c r="J451" s="57"/>
      <c r="K451" s="57"/>
      <c r="L451" s="57" t="b">
        <v>0</v>
      </c>
      <c r="M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8"/>
      <c r="J452" s="57"/>
      <c r="K452" s="57"/>
      <c r="L452" s="57" t="b">
        <v>0</v>
      </c>
      <c r="M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8"/>
      <c r="J453" s="57"/>
      <c r="K453" s="57"/>
      <c r="L453" s="57" t="b">
        <v>0</v>
      </c>
      <c r="M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8"/>
      <c r="J454" s="57"/>
      <c r="K454" s="57"/>
      <c r="L454" s="57" t="b">
        <v>0</v>
      </c>
      <c r="M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8"/>
      <c r="J455" s="57"/>
      <c r="K455" s="57"/>
      <c r="L455" s="57" t="b">
        <v>0</v>
      </c>
      <c r="M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8"/>
      <c r="J456" s="57"/>
      <c r="K456" s="57"/>
      <c r="L456" s="57" t="b">
        <v>0</v>
      </c>
      <c r="M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8"/>
      <c r="J457" s="57"/>
      <c r="K457" s="57"/>
      <c r="L457" s="57" t="b">
        <v>0</v>
      </c>
      <c r="M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8"/>
      <c r="J458" s="57"/>
      <c r="K458" s="57"/>
      <c r="L458" s="57" t="b">
        <v>0</v>
      </c>
      <c r="M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8"/>
      <c r="J459" s="57"/>
      <c r="K459" s="57"/>
      <c r="L459" s="57" t="b">
        <v>0</v>
      </c>
      <c r="M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8"/>
      <c r="J460" s="57"/>
      <c r="K460" s="57"/>
      <c r="L460" s="57" t="b">
        <v>0</v>
      </c>
      <c r="M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8"/>
      <c r="J461" s="57"/>
      <c r="K461" s="57"/>
      <c r="L461" s="57" t="b">
        <v>0</v>
      </c>
      <c r="M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8"/>
      <c r="J462" s="57"/>
      <c r="K462" s="57"/>
      <c r="L462" s="57" t="b">
        <v>0</v>
      </c>
      <c r="M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8"/>
      <c r="J463" s="57"/>
      <c r="K463" s="57"/>
      <c r="L463" s="57" t="b">
        <v>0</v>
      </c>
      <c r="M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8"/>
      <c r="J464" s="57"/>
      <c r="K464" s="57"/>
      <c r="L464" s="57" t="b">
        <v>0</v>
      </c>
      <c r="M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8"/>
      <c r="J465" s="57"/>
      <c r="K465" s="57"/>
      <c r="L465" s="57" t="b">
        <v>0</v>
      </c>
      <c r="M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8"/>
      <c r="J466" s="57"/>
      <c r="K466" s="57"/>
      <c r="L466" s="57" t="b">
        <v>0</v>
      </c>
      <c r="M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8"/>
      <c r="J467" s="57"/>
      <c r="K467" s="57"/>
      <c r="L467" s="57" t="b">
        <v>0</v>
      </c>
      <c r="M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8"/>
      <c r="J468" s="57"/>
      <c r="K468" s="57"/>
      <c r="L468" s="57" t="b">
        <v>0</v>
      </c>
      <c r="M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8"/>
      <c r="J469" s="57"/>
      <c r="K469" s="57"/>
      <c r="L469" s="57" t="b">
        <v>0</v>
      </c>
      <c r="M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8"/>
      <c r="J470" s="57"/>
      <c r="K470" s="57"/>
      <c r="L470" s="57" t="b">
        <v>0</v>
      </c>
      <c r="M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8"/>
      <c r="J471" s="57"/>
      <c r="K471" s="57"/>
      <c r="L471" s="57" t="b">
        <v>0</v>
      </c>
      <c r="M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8"/>
      <c r="J472" s="57"/>
      <c r="K472" s="57"/>
      <c r="L472" s="57" t="b">
        <v>0</v>
      </c>
      <c r="M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8"/>
      <c r="J473" s="57"/>
      <c r="K473" s="57"/>
      <c r="L473" s="57" t="b">
        <v>0</v>
      </c>
      <c r="M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8"/>
      <c r="J474" s="57"/>
      <c r="K474" s="57"/>
      <c r="L474" s="57" t="b">
        <v>0</v>
      </c>
      <c r="M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8"/>
      <c r="J475" s="57"/>
      <c r="K475" s="57"/>
      <c r="L475" s="57" t="b">
        <v>0</v>
      </c>
      <c r="M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8"/>
      <c r="J476" s="57"/>
      <c r="K476" s="57"/>
      <c r="L476" s="57" t="b">
        <v>0</v>
      </c>
      <c r="M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8"/>
      <c r="J477" s="57"/>
      <c r="K477" s="57"/>
      <c r="L477" s="57" t="b">
        <v>0</v>
      </c>
      <c r="M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8"/>
      <c r="J478" s="57"/>
      <c r="K478" s="57"/>
      <c r="L478" s="57" t="b">
        <v>0</v>
      </c>
      <c r="M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8"/>
      <c r="J479" s="57"/>
      <c r="K479" s="57"/>
      <c r="L479" s="57" t="b">
        <v>0</v>
      </c>
      <c r="M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8"/>
      <c r="J480" s="57"/>
      <c r="K480" s="57"/>
      <c r="L480" s="57" t="b">
        <v>0</v>
      </c>
      <c r="M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8"/>
      <c r="J481" s="57"/>
      <c r="K481" s="57"/>
      <c r="L481" s="57" t="b">
        <v>0</v>
      </c>
      <c r="M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8"/>
      <c r="J482" s="57"/>
      <c r="K482" s="57"/>
      <c r="L482" s="57" t="b">
        <v>0</v>
      </c>
      <c r="M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8"/>
      <c r="J483" s="57"/>
      <c r="K483" s="57"/>
      <c r="L483" s="57" t="b">
        <v>0</v>
      </c>
      <c r="M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8"/>
      <c r="J484" s="57"/>
      <c r="K484" s="57"/>
      <c r="L484" s="57" t="b">
        <v>0</v>
      </c>
      <c r="M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8"/>
      <c r="J485" s="57"/>
      <c r="K485" s="57"/>
      <c r="L485" s="57" t="b">
        <v>0</v>
      </c>
      <c r="M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8"/>
      <c r="J486" s="57"/>
      <c r="K486" s="57"/>
      <c r="L486" s="57" t="b">
        <v>0</v>
      </c>
      <c r="M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8"/>
      <c r="J487" s="57"/>
      <c r="K487" s="57"/>
      <c r="L487" s="57" t="b">
        <v>0</v>
      </c>
      <c r="M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8"/>
      <c r="J488" s="57"/>
      <c r="K488" s="57"/>
      <c r="L488" s="57" t="b">
        <v>0</v>
      </c>
      <c r="M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8"/>
      <c r="J489" s="57"/>
      <c r="K489" s="57"/>
      <c r="L489" s="57" t="b">
        <v>0</v>
      </c>
      <c r="M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8"/>
      <c r="J490" s="57"/>
      <c r="K490" s="57"/>
      <c r="L490" s="57" t="b">
        <v>0</v>
      </c>
      <c r="M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8"/>
      <c r="J491" s="57"/>
      <c r="K491" s="57"/>
      <c r="L491" s="57" t="b">
        <v>0</v>
      </c>
      <c r="M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8"/>
      <c r="J492" s="57"/>
      <c r="K492" s="57"/>
      <c r="L492" s="57" t="b">
        <v>0</v>
      </c>
      <c r="M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8"/>
      <c r="J493" s="57"/>
      <c r="K493" s="57"/>
      <c r="L493" s="57" t="b">
        <v>0</v>
      </c>
      <c r="M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8"/>
      <c r="J494" s="57"/>
      <c r="K494" s="57"/>
      <c r="L494" s="57" t="b">
        <v>0</v>
      </c>
      <c r="M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8"/>
      <c r="J495" s="57"/>
      <c r="K495" s="57"/>
      <c r="L495" s="57" t="b">
        <v>0</v>
      </c>
      <c r="M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8"/>
      <c r="J496" s="57"/>
      <c r="K496" s="57"/>
      <c r="L496" s="57" t="b">
        <v>0</v>
      </c>
      <c r="M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8"/>
      <c r="J497" s="57"/>
      <c r="K497" s="57"/>
      <c r="L497" s="57" t="b">
        <v>0</v>
      </c>
      <c r="M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8"/>
      <c r="J498" s="57"/>
      <c r="K498" s="57"/>
      <c r="L498" s="57" t="b">
        <v>0</v>
      </c>
      <c r="M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8"/>
      <c r="J499" s="57"/>
      <c r="K499" s="57"/>
      <c r="L499" s="57" t="b">
        <v>0</v>
      </c>
      <c r="M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8"/>
      <c r="J500" s="57"/>
      <c r="K500" s="57"/>
      <c r="L500" s="57" t="b">
        <v>0</v>
      </c>
      <c r="M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8"/>
      <c r="J501" s="57"/>
      <c r="K501" s="57"/>
      <c r="L501" s="57" t="b">
        <v>0</v>
      </c>
      <c r="M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8"/>
      <c r="J502" s="57"/>
      <c r="K502" s="57"/>
      <c r="L502" s="57" t="b">
        <v>0</v>
      </c>
      <c r="M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8"/>
      <c r="J503" s="57"/>
      <c r="K503" s="57"/>
      <c r="L503" s="57" t="b">
        <v>0</v>
      </c>
      <c r="M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8"/>
      <c r="J504" s="57"/>
      <c r="K504" s="57"/>
      <c r="L504" s="57" t="b">
        <v>0</v>
      </c>
      <c r="M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8"/>
      <c r="J505" s="57"/>
      <c r="K505" s="57"/>
      <c r="L505" s="57" t="b">
        <v>0</v>
      </c>
      <c r="M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8"/>
      <c r="J506" s="57"/>
      <c r="K506" s="57"/>
      <c r="L506" s="57" t="b">
        <v>0</v>
      </c>
      <c r="M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8"/>
      <c r="J507" s="57"/>
      <c r="K507" s="57"/>
      <c r="L507" s="57" t="b">
        <v>0</v>
      </c>
      <c r="M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8"/>
      <c r="J508" s="57"/>
      <c r="K508" s="57"/>
      <c r="L508" s="57" t="b">
        <v>0</v>
      </c>
      <c r="M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8"/>
      <c r="J509" s="57"/>
      <c r="K509" s="57"/>
      <c r="L509" s="57" t="b">
        <v>0</v>
      </c>
      <c r="M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8"/>
      <c r="J510" s="57"/>
      <c r="K510" s="57"/>
      <c r="L510" s="57" t="b">
        <v>0</v>
      </c>
      <c r="M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8"/>
      <c r="J511" s="57"/>
      <c r="K511" s="57"/>
      <c r="L511" s="57" t="b">
        <v>0</v>
      </c>
      <c r="M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8"/>
      <c r="J512" s="57"/>
      <c r="K512" s="57"/>
      <c r="L512" s="57" t="b">
        <v>0</v>
      </c>
      <c r="M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8"/>
      <c r="J513" s="57"/>
      <c r="K513" s="57"/>
      <c r="L513" s="57" t="b">
        <v>0</v>
      </c>
      <c r="M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8"/>
      <c r="J514" s="57"/>
      <c r="K514" s="57"/>
      <c r="L514" s="57" t="b">
        <v>0</v>
      </c>
      <c r="M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8"/>
      <c r="J515" s="57"/>
      <c r="K515" s="57"/>
      <c r="L515" s="57" t="b">
        <v>0</v>
      </c>
      <c r="M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8"/>
      <c r="J516" s="57"/>
      <c r="K516" s="57"/>
      <c r="L516" s="57" t="b">
        <v>0</v>
      </c>
      <c r="M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8"/>
      <c r="J517" s="57"/>
      <c r="K517" s="57"/>
      <c r="L517" s="57" t="b">
        <v>0</v>
      </c>
      <c r="M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8"/>
      <c r="J518" s="57"/>
      <c r="K518" s="57"/>
      <c r="L518" s="57" t="b">
        <v>0</v>
      </c>
      <c r="M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8"/>
      <c r="J519" s="57"/>
      <c r="K519" s="57"/>
      <c r="L519" s="57" t="b">
        <v>0</v>
      </c>
      <c r="M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8"/>
      <c r="J520" s="57"/>
      <c r="K520" s="57"/>
      <c r="L520" s="57" t="b">
        <v>0</v>
      </c>
      <c r="M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8"/>
      <c r="J521" s="57"/>
      <c r="K521" s="57"/>
      <c r="L521" s="57" t="b">
        <v>0</v>
      </c>
      <c r="M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8"/>
      <c r="J522" s="57"/>
      <c r="K522" s="57"/>
      <c r="L522" s="57" t="b">
        <v>0</v>
      </c>
      <c r="M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8"/>
      <c r="J523" s="57"/>
      <c r="K523" s="57"/>
      <c r="L523" s="57" t="b">
        <v>0</v>
      </c>
      <c r="M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8"/>
      <c r="J524" s="57"/>
      <c r="K524" s="57"/>
      <c r="L524" s="57" t="b">
        <v>0</v>
      </c>
      <c r="M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8"/>
      <c r="J525" s="57"/>
      <c r="K525" s="57"/>
      <c r="L525" s="57" t="b">
        <v>0</v>
      </c>
      <c r="M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8"/>
      <c r="J526" s="57"/>
      <c r="K526" s="57"/>
      <c r="L526" s="57" t="b">
        <v>0</v>
      </c>
      <c r="M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8"/>
      <c r="J527" s="57"/>
      <c r="K527" s="57"/>
      <c r="L527" s="57" t="b">
        <v>0</v>
      </c>
      <c r="M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8"/>
      <c r="J528" s="57"/>
      <c r="K528" s="57"/>
      <c r="L528" s="57" t="b">
        <v>0</v>
      </c>
      <c r="M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8"/>
      <c r="J529" s="57"/>
      <c r="K529" s="57"/>
      <c r="L529" s="57" t="b">
        <v>0</v>
      </c>
      <c r="M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8"/>
      <c r="J530" s="57"/>
      <c r="K530" s="57"/>
      <c r="L530" s="57" t="b">
        <v>0</v>
      </c>
      <c r="M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8"/>
      <c r="J531" s="57"/>
      <c r="K531" s="57"/>
      <c r="L531" s="57" t="b">
        <v>0</v>
      </c>
      <c r="M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8"/>
      <c r="J532" s="57"/>
      <c r="K532" s="57"/>
      <c r="L532" s="57" t="b">
        <v>0</v>
      </c>
      <c r="M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8"/>
      <c r="J533" s="57"/>
      <c r="K533" s="57"/>
      <c r="L533" s="57" t="b">
        <v>0</v>
      </c>
      <c r="M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8"/>
      <c r="J534" s="57"/>
      <c r="K534" s="57"/>
      <c r="L534" s="57" t="b">
        <v>0</v>
      </c>
      <c r="M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8"/>
      <c r="J535" s="57"/>
      <c r="K535" s="57"/>
      <c r="L535" s="57" t="b">
        <v>0</v>
      </c>
      <c r="M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8"/>
      <c r="J536" s="57"/>
      <c r="K536" s="57"/>
      <c r="L536" s="57" t="b">
        <v>0</v>
      </c>
      <c r="M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8"/>
      <c r="J537" s="57"/>
      <c r="K537" s="57"/>
      <c r="L537" s="57" t="b">
        <v>0</v>
      </c>
      <c r="M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8"/>
      <c r="J538" s="57"/>
      <c r="K538" s="57"/>
      <c r="L538" s="57" t="b">
        <v>0</v>
      </c>
      <c r="M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8"/>
      <c r="J539" s="57"/>
      <c r="K539" s="57"/>
      <c r="L539" s="57" t="b">
        <v>0</v>
      </c>
      <c r="M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8"/>
      <c r="J540" s="57"/>
      <c r="K540" s="57"/>
      <c r="L540" s="57" t="b">
        <v>0</v>
      </c>
      <c r="M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8"/>
      <c r="J541" s="57"/>
      <c r="K541" s="57"/>
      <c r="L541" s="57" t="b">
        <v>0</v>
      </c>
      <c r="M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8"/>
      <c r="J542" s="57"/>
      <c r="K542" s="57"/>
      <c r="L542" s="57" t="b">
        <v>0</v>
      </c>
      <c r="M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8"/>
      <c r="J543" s="57"/>
      <c r="K543" s="57"/>
      <c r="L543" s="57" t="b">
        <v>0</v>
      </c>
      <c r="M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8"/>
      <c r="J544" s="57"/>
      <c r="K544" s="57"/>
      <c r="L544" s="57" t="b">
        <v>0</v>
      </c>
      <c r="M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8"/>
      <c r="J545" s="57"/>
      <c r="K545" s="57"/>
      <c r="L545" s="57" t="b">
        <v>0</v>
      </c>
      <c r="M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8"/>
      <c r="J546" s="57"/>
      <c r="K546" s="57"/>
      <c r="L546" s="57" t="b">
        <v>0</v>
      </c>
      <c r="M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8"/>
      <c r="J547" s="57"/>
      <c r="K547" s="57"/>
      <c r="L547" s="57" t="b">
        <v>0</v>
      </c>
      <c r="M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8"/>
      <c r="J548" s="57"/>
      <c r="K548" s="57"/>
      <c r="L548" s="57" t="b">
        <v>0</v>
      </c>
      <c r="M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8"/>
      <c r="J549" s="57"/>
      <c r="K549" s="57"/>
      <c r="L549" s="57" t="b">
        <v>0</v>
      </c>
      <c r="M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8"/>
      <c r="J550" s="57"/>
      <c r="K550" s="57"/>
      <c r="L550" s="57" t="b">
        <v>0</v>
      </c>
      <c r="M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8"/>
      <c r="J551" s="57"/>
      <c r="K551" s="57"/>
      <c r="L551" s="57" t="b">
        <v>0</v>
      </c>
      <c r="M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8"/>
      <c r="J552" s="57"/>
      <c r="K552" s="57"/>
      <c r="L552" s="57" t="b">
        <v>0</v>
      </c>
      <c r="M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8"/>
      <c r="J553" s="57"/>
      <c r="K553" s="57"/>
      <c r="L553" s="57" t="b">
        <v>0</v>
      </c>
      <c r="M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8"/>
      <c r="J554" s="57"/>
      <c r="K554" s="57"/>
      <c r="L554" s="57" t="b">
        <v>0</v>
      </c>
      <c r="M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8"/>
      <c r="J555" s="57"/>
      <c r="K555" s="57"/>
      <c r="L555" s="57" t="b">
        <v>0</v>
      </c>
      <c r="M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8"/>
      <c r="J556" s="57"/>
      <c r="K556" s="57"/>
      <c r="L556" s="57" t="b">
        <v>0</v>
      </c>
      <c r="M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8"/>
      <c r="J557" s="57"/>
      <c r="K557" s="57"/>
      <c r="L557" s="57" t="b">
        <v>0</v>
      </c>
      <c r="M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8"/>
      <c r="J558" s="57"/>
      <c r="K558" s="57"/>
      <c r="L558" s="57" t="b">
        <v>0</v>
      </c>
      <c r="M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8"/>
      <c r="J559" s="57"/>
      <c r="K559" s="57"/>
      <c r="L559" s="57" t="b">
        <v>0</v>
      </c>
      <c r="M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8"/>
      <c r="J560" s="57"/>
      <c r="K560" s="57"/>
      <c r="L560" s="57" t="b">
        <v>0</v>
      </c>
      <c r="M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8"/>
      <c r="J561" s="57"/>
      <c r="K561" s="57"/>
      <c r="L561" s="57" t="b">
        <v>0</v>
      </c>
      <c r="M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8"/>
      <c r="J562" s="57"/>
      <c r="K562" s="57"/>
      <c r="L562" s="57" t="b">
        <v>0</v>
      </c>
      <c r="M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8"/>
      <c r="J563" s="57"/>
      <c r="K563" s="57"/>
      <c r="L563" s="57" t="b">
        <v>0</v>
      </c>
      <c r="M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8"/>
      <c r="J564" s="57"/>
      <c r="K564" s="57"/>
      <c r="L564" s="57" t="b">
        <v>0</v>
      </c>
      <c r="M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8"/>
      <c r="J565" s="57"/>
      <c r="K565" s="57"/>
      <c r="L565" s="57" t="b">
        <v>0</v>
      </c>
      <c r="M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8"/>
      <c r="J566" s="57"/>
      <c r="K566" s="57"/>
      <c r="L566" s="57" t="b">
        <v>0</v>
      </c>
      <c r="M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8"/>
      <c r="J567" s="57"/>
      <c r="K567" s="57"/>
      <c r="L567" s="57" t="b">
        <v>0</v>
      </c>
      <c r="M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8"/>
      <c r="J568" s="57"/>
      <c r="K568" s="57"/>
      <c r="L568" s="57" t="b">
        <v>0</v>
      </c>
      <c r="M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8"/>
      <c r="J569" s="57"/>
      <c r="K569" s="57"/>
      <c r="L569" s="57" t="b">
        <v>0</v>
      </c>
      <c r="M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8"/>
      <c r="J570" s="57"/>
      <c r="K570" s="57"/>
      <c r="L570" s="57" t="b">
        <v>0</v>
      </c>
      <c r="M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8"/>
      <c r="J571" s="57"/>
      <c r="K571" s="57"/>
      <c r="L571" s="57" t="b">
        <v>0</v>
      </c>
      <c r="M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8"/>
      <c r="J572" s="57"/>
      <c r="K572" s="57"/>
      <c r="L572" s="57" t="b">
        <v>0</v>
      </c>
      <c r="M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8"/>
      <c r="J573" s="57"/>
      <c r="K573" s="57"/>
      <c r="L573" s="57" t="b">
        <v>0</v>
      </c>
      <c r="M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8"/>
      <c r="J574" s="57"/>
      <c r="K574" s="57"/>
      <c r="L574" s="57" t="b">
        <v>0</v>
      </c>
      <c r="M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8"/>
      <c r="J575" s="57"/>
      <c r="K575" s="57"/>
      <c r="L575" s="57" t="b">
        <v>0</v>
      </c>
      <c r="M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8"/>
      <c r="J576" s="57"/>
      <c r="K576" s="57"/>
      <c r="L576" s="57" t="b">
        <v>0</v>
      </c>
      <c r="M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8"/>
      <c r="J577" s="57"/>
      <c r="K577" s="57"/>
      <c r="L577" s="57" t="b">
        <v>0</v>
      </c>
      <c r="M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8"/>
      <c r="J578" s="57"/>
      <c r="K578" s="57"/>
      <c r="L578" s="57" t="b">
        <v>0</v>
      </c>
      <c r="M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8"/>
      <c r="J579" s="57"/>
      <c r="K579" s="57"/>
      <c r="L579" s="57" t="b">
        <v>0</v>
      </c>
      <c r="M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8"/>
      <c r="J580" s="57"/>
      <c r="K580" s="57"/>
      <c r="L580" s="57" t="b">
        <v>0</v>
      </c>
      <c r="M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8"/>
      <c r="J581" s="57"/>
      <c r="K581" s="57"/>
      <c r="L581" s="57" t="b">
        <v>0</v>
      </c>
      <c r="M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8"/>
      <c r="J582" s="57"/>
      <c r="K582" s="57"/>
      <c r="L582" s="57" t="b">
        <v>0</v>
      </c>
      <c r="M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8"/>
      <c r="J583" s="57"/>
      <c r="K583" s="57"/>
      <c r="L583" s="57" t="b">
        <v>0</v>
      </c>
      <c r="M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8"/>
      <c r="J584" s="57"/>
      <c r="K584" s="57"/>
      <c r="L584" s="57" t="b">
        <v>0</v>
      </c>
      <c r="M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8"/>
      <c r="J585" s="57"/>
      <c r="K585" s="57"/>
      <c r="L585" s="57" t="b">
        <v>0</v>
      </c>
      <c r="M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8"/>
      <c r="J586" s="57"/>
      <c r="K586" s="57"/>
      <c r="L586" s="57" t="b">
        <v>0</v>
      </c>
      <c r="M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8"/>
      <c r="J587" s="57"/>
      <c r="K587" s="57"/>
      <c r="L587" s="57" t="b">
        <v>0</v>
      </c>
      <c r="M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8"/>
      <c r="J588" s="57"/>
      <c r="K588" s="57"/>
      <c r="L588" s="57" t="b">
        <v>0</v>
      </c>
      <c r="M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8"/>
      <c r="J589" s="57"/>
      <c r="K589" s="57"/>
      <c r="L589" s="57" t="b">
        <v>0</v>
      </c>
      <c r="M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8"/>
      <c r="J590" s="57"/>
      <c r="K590" s="57"/>
      <c r="L590" s="57" t="b">
        <v>0</v>
      </c>
      <c r="M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8"/>
      <c r="J591" s="57"/>
      <c r="K591" s="57"/>
      <c r="L591" s="57" t="b">
        <v>0</v>
      </c>
      <c r="M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8"/>
      <c r="J592" s="57"/>
      <c r="K592" s="57"/>
      <c r="L592" s="57" t="b">
        <v>0</v>
      </c>
      <c r="M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8"/>
      <c r="J593" s="57"/>
      <c r="K593" s="57"/>
      <c r="L593" s="57" t="b">
        <v>0</v>
      </c>
      <c r="M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8"/>
      <c r="J594" s="57"/>
      <c r="K594" s="57"/>
      <c r="L594" s="57" t="b">
        <v>0</v>
      </c>
      <c r="M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8"/>
      <c r="J595" s="57"/>
      <c r="K595" s="57"/>
      <c r="L595" s="57" t="b">
        <v>0</v>
      </c>
      <c r="M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8"/>
      <c r="J596" s="57"/>
      <c r="K596" s="57"/>
      <c r="L596" s="57" t="b">
        <v>0</v>
      </c>
      <c r="M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8"/>
      <c r="J597" s="57"/>
      <c r="K597" s="57"/>
      <c r="L597" s="57" t="b">
        <v>0</v>
      </c>
      <c r="M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8"/>
      <c r="J598" s="57"/>
      <c r="K598" s="57"/>
      <c r="L598" s="57" t="b">
        <v>0</v>
      </c>
      <c r="M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8"/>
      <c r="J599" s="57"/>
      <c r="K599" s="57"/>
      <c r="L599" s="57" t="b">
        <v>0</v>
      </c>
      <c r="M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8"/>
      <c r="J600" s="57"/>
      <c r="K600" s="57"/>
      <c r="L600" s="57" t="b">
        <v>0</v>
      </c>
      <c r="M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8"/>
      <c r="J601" s="57"/>
      <c r="K601" s="57"/>
      <c r="L601" s="57" t="b">
        <v>0</v>
      </c>
      <c r="M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8"/>
      <c r="J602" s="57"/>
      <c r="K602" s="57"/>
      <c r="L602" s="57" t="b">
        <v>0</v>
      </c>
      <c r="M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8"/>
      <c r="J603" s="57"/>
      <c r="K603" s="57"/>
      <c r="L603" s="57" t="b">
        <v>0</v>
      </c>
      <c r="M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8"/>
      <c r="J604" s="57"/>
      <c r="K604" s="57"/>
      <c r="L604" s="57" t="b">
        <v>0</v>
      </c>
      <c r="M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8"/>
      <c r="J605" s="57"/>
      <c r="K605" s="57"/>
      <c r="L605" s="57" t="b">
        <v>0</v>
      </c>
      <c r="M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8"/>
      <c r="J606" s="57"/>
      <c r="K606" s="57"/>
      <c r="L606" s="57" t="b">
        <v>0</v>
      </c>
      <c r="M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8"/>
      <c r="J607" s="57"/>
      <c r="K607" s="57"/>
      <c r="L607" s="57" t="b">
        <v>0</v>
      </c>
      <c r="M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8"/>
      <c r="J608" s="57"/>
      <c r="K608" s="57"/>
      <c r="L608" s="57" t="b">
        <v>0</v>
      </c>
      <c r="M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8"/>
      <c r="J609" s="57"/>
      <c r="K609" s="57"/>
      <c r="L609" s="57" t="b">
        <v>0</v>
      </c>
      <c r="M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8"/>
      <c r="J610" s="57"/>
      <c r="K610" s="57"/>
      <c r="L610" s="57" t="b">
        <v>0</v>
      </c>
      <c r="M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8"/>
      <c r="J611" s="57"/>
      <c r="K611" s="57"/>
      <c r="L611" s="57" t="b">
        <v>0</v>
      </c>
      <c r="M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8"/>
      <c r="J612" s="57"/>
      <c r="K612" s="57"/>
      <c r="L612" s="57" t="b">
        <v>0</v>
      </c>
      <c r="M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8"/>
      <c r="J613" s="57"/>
      <c r="K613" s="57"/>
      <c r="L613" s="57" t="b">
        <v>0</v>
      </c>
      <c r="M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8"/>
      <c r="J614" s="57"/>
      <c r="K614" s="57"/>
      <c r="L614" s="57" t="b">
        <v>0</v>
      </c>
      <c r="M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8"/>
      <c r="J615" s="57"/>
      <c r="K615" s="57"/>
      <c r="L615" s="57" t="b">
        <v>0</v>
      </c>
      <c r="M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8"/>
      <c r="J616" s="57"/>
      <c r="K616" s="57"/>
      <c r="L616" s="57" t="b">
        <v>0</v>
      </c>
      <c r="M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8"/>
      <c r="J617" s="57"/>
      <c r="K617" s="57"/>
      <c r="L617" s="57" t="b">
        <v>0</v>
      </c>
      <c r="M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8"/>
      <c r="J618" s="57"/>
      <c r="K618" s="57"/>
      <c r="L618" s="57" t="b">
        <v>0</v>
      </c>
      <c r="M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8"/>
      <c r="J619" s="57"/>
      <c r="K619" s="57"/>
      <c r="L619" s="57" t="b">
        <v>0</v>
      </c>
      <c r="M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8"/>
      <c r="J620" s="57"/>
      <c r="K620" s="57"/>
      <c r="L620" s="57" t="b">
        <v>0</v>
      </c>
      <c r="M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8"/>
      <c r="J621" s="57"/>
      <c r="K621" s="57"/>
      <c r="L621" s="57" t="b">
        <v>0</v>
      </c>
      <c r="M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8"/>
      <c r="J622" s="57"/>
      <c r="K622" s="57"/>
      <c r="L622" s="57" t="b">
        <v>0</v>
      </c>
      <c r="M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8"/>
      <c r="J623" s="57"/>
      <c r="K623" s="57"/>
      <c r="L623" s="57" t="b">
        <v>0</v>
      </c>
      <c r="M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8"/>
      <c r="J624" s="57"/>
      <c r="K624" s="57"/>
      <c r="L624" s="57" t="b">
        <v>0</v>
      </c>
      <c r="M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8"/>
      <c r="J625" s="57"/>
      <c r="K625" s="57"/>
      <c r="L625" s="57" t="b">
        <v>0</v>
      </c>
      <c r="M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8"/>
      <c r="J626" s="57"/>
      <c r="K626" s="57"/>
      <c r="L626" s="57" t="b">
        <v>0</v>
      </c>
      <c r="M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8"/>
      <c r="J627" s="57"/>
      <c r="K627" s="57"/>
      <c r="L627" s="57" t="b">
        <v>0</v>
      </c>
      <c r="M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8"/>
      <c r="J628" s="57"/>
      <c r="K628" s="57"/>
      <c r="L628" s="57" t="b">
        <v>0</v>
      </c>
      <c r="M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8"/>
      <c r="J629" s="57"/>
      <c r="K629" s="57"/>
      <c r="L629" s="57" t="b">
        <v>0</v>
      </c>
      <c r="M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8"/>
      <c r="J630" s="57"/>
      <c r="K630" s="57"/>
      <c r="L630" s="57" t="b">
        <v>0</v>
      </c>
      <c r="M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8"/>
      <c r="J631" s="57"/>
      <c r="K631" s="57"/>
      <c r="L631" s="57" t="b">
        <v>0</v>
      </c>
      <c r="M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8"/>
      <c r="J632" s="57"/>
      <c r="K632" s="57"/>
      <c r="L632" s="57" t="b">
        <v>0</v>
      </c>
      <c r="M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8"/>
      <c r="J633" s="57"/>
      <c r="K633" s="57"/>
      <c r="L633" s="57" t="b">
        <v>0</v>
      </c>
      <c r="M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8"/>
      <c r="J634" s="57"/>
      <c r="K634" s="57"/>
      <c r="L634" s="57" t="b">
        <v>0</v>
      </c>
      <c r="M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8"/>
      <c r="J635" s="57"/>
      <c r="K635" s="57"/>
      <c r="L635" s="57" t="b">
        <v>0</v>
      </c>
      <c r="M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8"/>
      <c r="J636" s="57"/>
      <c r="K636" s="57"/>
      <c r="L636" s="57" t="b">
        <v>0</v>
      </c>
      <c r="M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8"/>
      <c r="J637" s="57"/>
      <c r="K637" s="57"/>
      <c r="L637" s="57" t="b">
        <v>0</v>
      </c>
      <c r="M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8"/>
      <c r="J638" s="57"/>
      <c r="K638" s="57"/>
      <c r="L638" s="57" t="b">
        <v>0</v>
      </c>
      <c r="M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8"/>
      <c r="J639" s="57"/>
      <c r="K639" s="57"/>
      <c r="L639" s="57" t="b">
        <v>0</v>
      </c>
      <c r="M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8"/>
      <c r="J640" s="57"/>
      <c r="K640" s="57"/>
      <c r="L640" s="57" t="b">
        <v>0</v>
      </c>
      <c r="M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8"/>
      <c r="J641" s="57"/>
      <c r="K641" s="57"/>
      <c r="L641" s="57" t="b">
        <v>0</v>
      </c>
      <c r="M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8"/>
      <c r="J642" s="57"/>
      <c r="K642" s="57"/>
      <c r="L642" s="57" t="b">
        <v>0</v>
      </c>
      <c r="M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8"/>
      <c r="J643" s="57"/>
      <c r="K643" s="57"/>
      <c r="L643" s="57" t="b">
        <v>0</v>
      </c>
      <c r="M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8"/>
      <c r="J644" s="57"/>
      <c r="K644" s="57"/>
      <c r="L644" s="57" t="b">
        <v>0</v>
      </c>
      <c r="M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8"/>
      <c r="J645" s="57"/>
      <c r="K645" s="57"/>
      <c r="L645" s="57" t="b">
        <v>0</v>
      </c>
      <c r="M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8"/>
      <c r="J646" s="57"/>
      <c r="K646" s="57"/>
      <c r="L646" s="57" t="b">
        <v>0</v>
      </c>
      <c r="M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8"/>
      <c r="J647" s="57"/>
      <c r="K647" s="57"/>
      <c r="L647" s="57" t="b">
        <v>0</v>
      </c>
      <c r="M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8"/>
      <c r="J648" s="57"/>
      <c r="K648" s="57"/>
      <c r="L648" s="57" t="b">
        <v>0</v>
      </c>
      <c r="M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8"/>
      <c r="J649" s="57"/>
      <c r="K649" s="57"/>
      <c r="L649" s="57" t="b">
        <v>0</v>
      </c>
      <c r="M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8"/>
      <c r="J650" s="57"/>
      <c r="K650" s="57"/>
      <c r="L650" s="57" t="b">
        <v>0</v>
      </c>
      <c r="M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8"/>
      <c r="J651" s="57"/>
      <c r="K651" s="57"/>
      <c r="L651" s="57" t="b">
        <v>0</v>
      </c>
      <c r="M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8"/>
      <c r="J652" s="57"/>
      <c r="K652" s="57"/>
      <c r="L652" s="57" t="b">
        <v>0</v>
      </c>
      <c r="M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8"/>
      <c r="J653" s="57"/>
      <c r="K653" s="57"/>
      <c r="L653" s="57" t="b">
        <v>0</v>
      </c>
      <c r="M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8"/>
      <c r="J654" s="57"/>
      <c r="K654" s="57"/>
      <c r="L654" s="57" t="b">
        <v>0</v>
      </c>
      <c r="M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8"/>
      <c r="J655" s="57"/>
      <c r="K655" s="57"/>
      <c r="L655" s="57" t="b">
        <v>0</v>
      </c>
      <c r="M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8"/>
      <c r="J656" s="57"/>
      <c r="K656" s="57"/>
      <c r="L656" s="57" t="b">
        <v>0</v>
      </c>
      <c r="M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8"/>
      <c r="J657" s="57"/>
      <c r="K657" s="57"/>
      <c r="L657" s="57" t="b">
        <v>0</v>
      </c>
      <c r="M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8"/>
      <c r="J658" s="57"/>
      <c r="K658" s="57"/>
      <c r="L658" s="57" t="b">
        <v>0</v>
      </c>
      <c r="M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8"/>
      <c r="J659" s="57"/>
      <c r="K659" s="57"/>
      <c r="L659" s="57" t="b">
        <v>0</v>
      </c>
      <c r="M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8"/>
      <c r="J660" s="57"/>
      <c r="K660" s="57"/>
      <c r="L660" s="57" t="b">
        <v>0</v>
      </c>
      <c r="M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8"/>
      <c r="J661" s="57"/>
      <c r="K661" s="57"/>
      <c r="L661" s="57" t="b">
        <v>0</v>
      </c>
      <c r="M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8"/>
      <c r="J662" s="57"/>
      <c r="K662" s="57"/>
      <c r="L662" s="57" t="b">
        <v>0</v>
      </c>
      <c r="M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8"/>
      <c r="J663" s="57"/>
      <c r="K663" s="57"/>
      <c r="L663" s="57" t="b">
        <v>0</v>
      </c>
      <c r="M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8"/>
      <c r="J664" s="57"/>
      <c r="K664" s="57"/>
      <c r="L664" s="57" t="b">
        <v>0</v>
      </c>
      <c r="M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8"/>
      <c r="J665" s="57"/>
      <c r="K665" s="57"/>
      <c r="L665" s="57" t="b">
        <v>0</v>
      </c>
      <c r="M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8"/>
      <c r="J666" s="57"/>
      <c r="K666" s="57"/>
      <c r="L666" s="57" t="b">
        <v>0</v>
      </c>
      <c r="M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8"/>
      <c r="J667" s="57"/>
      <c r="K667" s="57"/>
      <c r="L667" s="57" t="b">
        <v>0</v>
      </c>
      <c r="M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8"/>
      <c r="J668" s="57"/>
      <c r="K668" s="57"/>
      <c r="L668" s="57" t="b">
        <v>0</v>
      </c>
      <c r="M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8"/>
      <c r="J669" s="57"/>
      <c r="K669" s="57"/>
      <c r="L669" s="57" t="b">
        <v>0</v>
      </c>
      <c r="M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8"/>
      <c r="J670" s="57"/>
      <c r="K670" s="57"/>
      <c r="L670" s="57" t="b">
        <v>0</v>
      </c>
      <c r="M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8"/>
      <c r="J671" s="57"/>
      <c r="K671" s="57"/>
      <c r="L671" s="57" t="b">
        <v>0</v>
      </c>
      <c r="M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8"/>
      <c r="J672" s="57"/>
      <c r="K672" s="57"/>
      <c r="L672" s="57" t="b">
        <v>0</v>
      </c>
      <c r="M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8"/>
      <c r="J673" s="57"/>
      <c r="K673" s="57"/>
      <c r="L673" s="57" t="b">
        <v>0</v>
      </c>
      <c r="M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8"/>
      <c r="J674" s="57"/>
      <c r="K674" s="57"/>
      <c r="L674" s="57" t="b">
        <v>0</v>
      </c>
      <c r="M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8"/>
      <c r="J675" s="57"/>
      <c r="K675" s="57"/>
      <c r="L675" s="57" t="b">
        <v>0</v>
      </c>
      <c r="M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8"/>
      <c r="J676" s="57"/>
      <c r="K676" s="57"/>
      <c r="L676" s="57" t="b">
        <v>0</v>
      </c>
      <c r="M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8"/>
      <c r="J677" s="57"/>
      <c r="K677" s="57"/>
      <c r="L677" s="57" t="b">
        <v>0</v>
      </c>
      <c r="M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8"/>
      <c r="J678" s="57"/>
      <c r="K678" s="57"/>
      <c r="L678" s="57" t="b">
        <v>0</v>
      </c>
      <c r="M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8"/>
      <c r="J679" s="57"/>
      <c r="K679" s="57"/>
      <c r="L679" s="57" t="b">
        <v>0</v>
      </c>
      <c r="M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8"/>
      <c r="J680" s="57"/>
      <c r="K680" s="57"/>
      <c r="L680" s="57" t="b">
        <v>0</v>
      </c>
      <c r="M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8"/>
      <c r="J681" s="57"/>
      <c r="K681" s="57"/>
      <c r="L681" s="57" t="b">
        <v>0</v>
      </c>
      <c r="M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8"/>
      <c r="J682" s="57"/>
      <c r="K682" s="57"/>
      <c r="L682" s="57" t="b">
        <v>0</v>
      </c>
      <c r="M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8"/>
      <c r="J683" s="57"/>
      <c r="K683" s="57"/>
      <c r="L683" s="57" t="b">
        <v>0</v>
      </c>
      <c r="M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8"/>
      <c r="J684" s="57"/>
      <c r="K684" s="57"/>
      <c r="L684" s="57" t="b">
        <v>0</v>
      </c>
      <c r="M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8"/>
      <c r="J685" s="57"/>
      <c r="K685" s="57"/>
      <c r="L685" s="57" t="b">
        <v>0</v>
      </c>
      <c r="M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8"/>
      <c r="J686" s="57"/>
      <c r="K686" s="57"/>
      <c r="L686" s="57" t="b">
        <v>0</v>
      </c>
      <c r="M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8"/>
      <c r="J687" s="57"/>
      <c r="K687" s="57"/>
      <c r="L687" s="57" t="b">
        <v>0</v>
      </c>
      <c r="M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8"/>
      <c r="J688" s="57"/>
      <c r="K688" s="57"/>
      <c r="L688" s="57" t="b">
        <v>0</v>
      </c>
      <c r="M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8"/>
      <c r="J689" s="57"/>
      <c r="K689" s="57"/>
      <c r="L689" s="57" t="b">
        <v>0</v>
      </c>
      <c r="M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8"/>
      <c r="J690" s="57"/>
      <c r="K690" s="57"/>
      <c r="L690" s="57" t="b">
        <v>0</v>
      </c>
      <c r="M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8"/>
      <c r="J691" s="57"/>
      <c r="K691" s="57"/>
      <c r="L691" s="57" t="b">
        <v>0</v>
      </c>
      <c r="M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8"/>
      <c r="J692" s="57"/>
      <c r="K692" s="57"/>
      <c r="L692" s="57" t="b">
        <v>0</v>
      </c>
      <c r="M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8"/>
      <c r="J693" s="57"/>
      <c r="K693" s="57"/>
      <c r="L693" s="57" t="b">
        <v>0</v>
      </c>
      <c r="M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8"/>
      <c r="J694" s="57"/>
      <c r="K694" s="57"/>
      <c r="L694" s="57" t="b">
        <v>0</v>
      </c>
      <c r="M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8"/>
      <c r="J695" s="57"/>
      <c r="K695" s="57"/>
      <c r="L695" s="57" t="b">
        <v>0</v>
      </c>
      <c r="M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8"/>
      <c r="J696" s="57"/>
      <c r="K696" s="57"/>
      <c r="L696" s="57" t="b">
        <v>0</v>
      </c>
      <c r="M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8"/>
      <c r="J697" s="57"/>
      <c r="K697" s="57"/>
      <c r="L697" s="57" t="b">
        <v>0</v>
      </c>
      <c r="M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8"/>
      <c r="J698" s="57"/>
      <c r="K698" s="57"/>
      <c r="L698" s="57" t="b">
        <v>0</v>
      </c>
      <c r="M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8"/>
      <c r="J699" s="57"/>
      <c r="K699" s="57"/>
      <c r="L699" s="57" t="b">
        <v>0</v>
      </c>
      <c r="M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8"/>
      <c r="J700" s="57"/>
      <c r="K700" s="57"/>
      <c r="L700" s="57" t="b">
        <v>0</v>
      </c>
      <c r="M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8"/>
      <c r="J701" s="57"/>
      <c r="K701" s="57"/>
      <c r="L701" s="57" t="b">
        <v>0</v>
      </c>
      <c r="M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8"/>
      <c r="J702" s="57"/>
      <c r="K702" s="57"/>
      <c r="L702" s="57" t="b">
        <v>0</v>
      </c>
      <c r="M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8"/>
      <c r="J703" s="57"/>
      <c r="K703" s="57"/>
      <c r="L703" s="57" t="b">
        <v>0</v>
      </c>
      <c r="M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8"/>
      <c r="J704" s="57"/>
      <c r="K704" s="57"/>
      <c r="L704" s="57" t="b">
        <v>0</v>
      </c>
      <c r="M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8"/>
      <c r="J705" s="57"/>
      <c r="K705" s="57"/>
      <c r="L705" s="57" t="b">
        <v>0</v>
      </c>
      <c r="M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8"/>
      <c r="J706" s="57"/>
      <c r="K706" s="57"/>
      <c r="L706" s="57" t="b">
        <v>0</v>
      </c>
      <c r="M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8"/>
      <c r="J707" s="57"/>
      <c r="K707" s="57"/>
      <c r="L707" s="57" t="b">
        <v>0</v>
      </c>
      <c r="M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8"/>
      <c r="J708" s="57"/>
      <c r="K708" s="57"/>
      <c r="L708" s="57" t="b">
        <v>0</v>
      </c>
      <c r="M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8"/>
      <c r="J709" s="57"/>
      <c r="K709" s="57"/>
      <c r="L709" s="57" t="b">
        <v>0</v>
      </c>
      <c r="M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8"/>
      <c r="J710" s="57"/>
      <c r="K710" s="57"/>
      <c r="L710" s="57" t="b">
        <v>0</v>
      </c>
      <c r="M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8"/>
      <c r="J711" s="57"/>
      <c r="K711" s="57"/>
      <c r="L711" s="57" t="b">
        <v>0</v>
      </c>
      <c r="M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8"/>
      <c r="J712" s="57"/>
      <c r="K712" s="57"/>
      <c r="L712" s="57" t="b">
        <v>0</v>
      </c>
      <c r="M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8"/>
      <c r="J713" s="57"/>
      <c r="K713" s="57"/>
      <c r="L713" s="57" t="b">
        <v>0</v>
      </c>
      <c r="M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8"/>
      <c r="J714" s="57"/>
      <c r="K714" s="57"/>
      <c r="L714" s="57" t="b">
        <v>0</v>
      </c>
      <c r="M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8"/>
      <c r="J715" s="57"/>
      <c r="K715" s="57"/>
      <c r="L715" s="57" t="b">
        <v>0</v>
      </c>
      <c r="M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8"/>
      <c r="J716" s="57"/>
      <c r="K716" s="57"/>
      <c r="L716" s="57" t="b">
        <v>0</v>
      </c>
      <c r="M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8"/>
      <c r="J717" s="57"/>
      <c r="K717" s="57"/>
      <c r="L717" s="57" t="b">
        <v>0</v>
      </c>
      <c r="M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8"/>
      <c r="J718" s="57"/>
      <c r="K718" s="57"/>
      <c r="L718" s="57" t="b">
        <v>0</v>
      </c>
      <c r="M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8"/>
      <c r="J719" s="57"/>
      <c r="K719" s="57"/>
      <c r="L719" s="57" t="b">
        <v>0</v>
      </c>
      <c r="M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8"/>
      <c r="J720" s="57"/>
      <c r="K720" s="57"/>
      <c r="L720" s="57" t="b">
        <v>0</v>
      </c>
      <c r="M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8"/>
      <c r="J721" s="57"/>
      <c r="K721" s="57"/>
      <c r="L721" s="57" t="b">
        <v>0</v>
      </c>
      <c r="M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8"/>
      <c r="J722" s="57"/>
      <c r="K722" s="57"/>
      <c r="L722" s="57" t="b">
        <v>0</v>
      </c>
      <c r="M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8"/>
      <c r="J723" s="57"/>
      <c r="K723" s="57"/>
      <c r="L723" s="57" t="b">
        <v>0</v>
      </c>
      <c r="M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8"/>
      <c r="J724" s="57"/>
      <c r="K724" s="57"/>
      <c r="L724" s="57" t="b">
        <v>0</v>
      </c>
      <c r="M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8"/>
      <c r="J725" s="57"/>
      <c r="K725" s="57"/>
      <c r="L725" s="57" t="b">
        <v>0</v>
      </c>
      <c r="M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8"/>
      <c r="J726" s="57"/>
      <c r="K726" s="57"/>
      <c r="L726" s="57" t="b">
        <v>0</v>
      </c>
      <c r="M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8"/>
      <c r="J727" s="57"/>
      <c r="K727" s="57"/>
      <c r="L727" s="57" t="b">
        <v>0</v>
      </c>
      <c r="M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8"/>
      <c r="J728" s="57"/>
      <c r="K728" s="57"/>
      <c r="L728" s="57" t="b">
        <v>0</v>
      </c>
      <c r="M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8"/>
      <c r="J729" s="57"/>
      <c r="K729" s="57"/>
      <c r="L729" s="57" t="b">
        <v>0</v>
      </c>
      <c r="M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8"/>
      <c r="J730" s="57"/>
      <c r="K730" s="57"/>
      <c r="L730" s="57" t="b">
        <v>0</v>
      </c>
      <c r="M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8"/>
      <c r="J731" s="57"/>
      <c r="K731" s="57"/>
      <c r="L731" s="57" t="b">
        <v>0</v>
      </c>
      <c r="M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8"/>
      <c r="J732" s="57"/>
      <c r="K732" s="57"/>
      <c r="L732" s="57" t="b">
        <v>0</v>
      </c>
      <c r="M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8"/>
      <c r="J733" s="57"/>
      <c r="K733" s="57"/>
      <c r="L733" s="57" t="b">
        <v>0</v>
      </c>
      <c r="M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8"/>
      <c r="J734" s="57"/>
      <c r="K734" s="57"/>
      <c r="L734" s="57" t="b">
        <v>0</v>
      </c>
      <c r="M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8"/>
      <c r="J735" s="57"/>
      <c r="K735" s="57"/>
      <c r="L735" s="57" t="b">
        <v>0</v>
      </c>
      <c r="M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8"/>
      <c r="J736" s="57"/>
      <c r="K736" s="57"/>
      <c r="L736" s="57" t="b">
        <v>0</v>
      </c>
      <c r="M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8"/>
      <c r="J737" s="57"/>
      <c r="K737" s="57"/>
      <c r="L737" s="57" t="b">
        <v>0</v>
      </c>
      <c r="M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8"/>
      <c r="J738" s="57"/>
      <c r="K738" s="57"/>
      <c r="L738" s="57" t="b">
        <v>0</v>
      </c>
      <c r="M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8"/>
      <c r="J739" s="57"/>
      <c r="K739" s="57"/>
      <c r="L739" s="57" t="b">
        <v>0</v>
      </c>
      <c r="M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8"/>
      <c r="J740" s="57"/>
      <c r="K740" s="57"/>
      <c r="L740" s="57" t="b">
        <v>0</v>
      </c>
      <c r="M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8"/>
      <c r="J741" s="57"/>
      <c r="K741" s="57"/>
      <c r="L741" s="57" t="b">
        <v>0</v>
      </c>
      <c r="M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8"/>
      <c r="J742" s="57"/>
      <c r="K742" s="57"/>
      <c r="L742" s="57" t="b">
        <v>0</v>
      </c>
      <c r="M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8"/>
      <c r="J743" s="57"/>
      <c r="K743" s="57"/>
      <c r="L743" s="57" t="b">
        <v>0</v>
      </c>
      <c r="M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8"/>
      <c r="J744" s="57"/>
      <c r="K744" s="57"/>
      <c r="L744" s="57" t="b">
        <v>0</v>
      </c>
      <c r="M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8"/>
      <c r="J745" s="57"/>
      <c r="K745" s="57"/>
      <c r="L745" s="57" t="b">
        <v>0</v>
      </c>
      <c r="M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8"/>
      <c r="J746" s="57"/>
      <c r="K746" s="57"/>
      <c r="L746" s="57" t="b">
        <v>0</v>
      </c>
      <c r="M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8"/>
      <c r="J747" s="57"/>
      <c r="K747" s="57"/>
      <c r="L747" s="57" t="b">
        <v>0</v>
      </c>
      <c r="M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8"/>
      <c r="J748" s="57"/>
      <c r="K748" s="57"/>
      <c r="L748" s="57" t="b">
        <v>0</v>
      </c>
      <c r="M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8"/>
      <c r="J749" s="57"/>
      <c r="K749" s="57"/>
      <c r="L749" s="57" t="b">
        <v>0</v>
      </c>
      <c r="M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8"/>
      <c r="J750" s="57"/>
      <c r="K750" s="57"/>
      <c r="L750" s="57" t="b">
        <v>0</v>
      </c>
      <c r="M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8"/>
      <c r="J751" s="57"/>
      <c r="K751" s="57"/>
      <c r="L751" s="57" t="b">
        <v>0</v>
      </c>
      <c r="M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8"/>
      <c r="J752" s="57"/>
      <c r="K752" s="57"/>
      <c r="L752" s="57" t="b">
        <v>0</v>
      </c>
      <c r="M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8"/>
      <c r="J753" s="57"/>
      <c r="K753" s="57"/>
      <c r="L753" s="57" t="b">
        <v>0</v>
      </c>
      <c r="M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8"/>
      <c r="J754" s="57"/>
      <c r="K754" s="57"/>
      <c r="L754" s="57" t="b">
        <v>0</v>
      </c>
      <c r="M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8"/>
      <c r="J755" s="57"/>
      <c r="K755" s="57"/>
      <c r="L755" s="57" t="b">
        <v>0</v>
      </c>
      <c r="M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8"/>
      <c r="J756" s="57"/>
      <c r="K756" s="57"/>
      <c r="L756" s="57" t="b">
        <v>0</v>
      </c>
      <c r="M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8"/>
      <c r="J757" s="57"/>
      <c r="K757" s="57"/>
      <c r="L757" s="57" t="b">
        <v>0</v>
      </c>
      <c r="M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8"/>
      <c r="J758" s="57"/>
      <c r="K758" s="57"/>
      <c r="L758" s="57" t="b">
        <v>0</v>
      </c>
      <c r="M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8"/>
      <c r="J759" s="57"/>
      <c r="K759" s="57"/>
      <c r="L759" s="57" t="b">
        <v>0</v>
      </c>
      <c r="M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8"/>
      <c r="J760" s="57"/>
      <c r="K760" s="57"/>
      <c r="L760" s="57" t="b">
        <v>0</v>
      </c>
      <c r="M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8"/>
      <c r="J761" s="57"/>
      <c r="K761" s="57"/>
      <c r="L761" s="57" t="b">
        <v>0</v>
      </c>
      <c r="M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8"/>
      <c r="J762" s="57"/>
      <c r="K762" s="57"/>
      <c r="L762" s="57" t="b">
        <v>0</v>
      </c>
      <c r="M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8"/>
      <c r="J763" s="57"/>
      <c r="K763" s="57"/>
      <c r="L763" s="57" t="b">
        <v>0</v>
      </c>
      <c r="M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8"/>
      <c r="J764" s="57"/>
      <c r="K764" s="57"/>
      <c r="L764" s="57" t="b">
        <v>0</v>
      </c>
      <c r="M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8"/>
      <c r="J765" s="57"/>
      <c r="K765" s="57"/>
      <c r="L765" s="57" t="b">
        <v>0</v>
      </c>
      <c r="M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8"/>
      <c r="J766" s="57"/>
      <c r="K766" s="57"/>
      <c r="L766" s="57" t="b">
        <v>0</v>
      </c>
      <c r="M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8"/>
      <c r="J767" s="57"/>
      <c r="K767" s="57"/>
      <c r="L767" s="57" t="b">
        <v>0</v>
      </c>
      <c r="M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8"/>
      <c r="J768" s="57"/>
      <c r="K768" s="57"/>
      <c r="L768" s="57" t="b">
        <v>0</v>
      </c>
      <c r="M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8"/>
      <c r="J769" s="57"/>
      <c r="K769" s="57"/>
      <c r="L769" s="57" t="b">
        <v>0</v>
      </c>
      <c r="M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8"/>
      <c r="J770" s="57"/>
      <c r="K770" s="57"/>
      <c r="L770" s="57" t="b">
        <v>0</v>
      </c>
      <c r="M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8"/>
      <c r="J771" s="57"/>
      <c r="K771" s="57"/>
      <c r="L771" s="57" t="b">
        <v>0</v>
      </c>
      <c r="M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8"/>
      <c r="J772" s="57"/>
      <c r="K772" s="57"/>
      <c r="L772" s="57" t="b">
        <v>0</v>
      </c>
      <c r="M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8"/>
      <c r="J773" s="57"/>
      <c r="K773" s="57"/>
      <c r="L773" s="57" t="b">
        <v>0</v>
      </c>
      <c r="M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8"/>
      <c r="J774" s="57"/>
      <c r="K774" s="57"/>
      <c r="L774" s="57" t="b">
        <v>0</v>
      </c>
      <c r="M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8"/>
      <c r="J775" s="57"/>
      <c r="K775" s="57"/>
      <c r="L775" s="57" t="b">
        <v>0</v>
      </c>
      <c r="M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8"/>
      <c r="J776" s="57"/>
      <c r="K776" s="57"/>
      <c r="L776" s="57" t="b">
        <v>0</v>
      </c>
      <c r="M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8"/>
      <c r="J777" s="57"/>
      <c r="K777" s="57"/>
      <c r="L777" s="57" t="b">
        <v>0</v>
      </c>
      <c r="M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8"/>
      <c r="J778" s="57"/>
      <c r="K778" s="57"/>
      <c r="L778" s="57" t="b">
        <v>0</v>
      </c>
      <c r="M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8"/>
      <c r="J779" s="57"/>
      <c r="K779" s="57"/>
      <c r="L779" s="57" t="b">
        <v>0</v>
      </c>
      <c r="M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8"/>
      <c r="J780" s="57"/>
      <c r="K780" s="57"/>
      <c r="L780" s="57" t="b">
        <v>0</v>
      </c>
      <c r="M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8"/>
      <c r="J781" s="57"/>
      <c r="K781" s="57"/>
      <c r="L781" s="57" t="b">
        <v>0</v>
      </c>
      <c r="M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8"/>
      <c r="J782" s="57"/>
      <c r="K782" s="57"/>
      <c r="L782" s="57" t="b">
        <v>0</v>
      </c>
      <c r="M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8"/>
      <c r="J783" s="57"/>
      <c r="K783" s="57"/>
      <c r="L783" s="57" t="b">
        <v>0</v>
      </c>
      <c r="M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8"/>
      <c r="J784" s="57"/>
      <c r="K784" s="57"/>
      <c r="L784" s="57" t="b">
        <v>0</v>
      </c>
      <c r="M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8"/>
      <c r="J785" s="57"/>
      <c r="K785" s="57"/>
      <c r="L785" s="57" t="b">
        <v>0</v>
      </c>
      <c r="M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8"/>
      <c r="J786" s="57"/>
      <c r="K786" s="57"/>
      <c r="L786" s="57" t="b">
        <v>0</v>
      </c>
      <c r="M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8"/>
      <c r="J787" s="57"/>
      <c r="K787" s="57"/>
      <c r="L787" s="57" t="b">
        <v>0</v>
      </c>
      <c r="M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8"/>
      <c r="J788" s="57"/>
      <c r="K788" s="57"/>
      <c r="L788" s="57" t="b">
        <v>0</v>
      </c>
      <c r="M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8"/>
      <c r="J789" s="57"/>
      <c r="K789" s="57"/>
      <c r="L789" s="57" t="b">
        <v>0</v>
      </c>
      <c r="M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8"/>
      <c r="J790" s="57"/>
      <c r="K790" s="57"/>
      <c r="L790" s="57" t="b">
        <v>0</v>
      </c>
      <c r="M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8"/>
      <c r="J791" s="57"/>
      <c r="K791" s="57"/>
      <c r="L791" s="57" t="b">
        <v>0</v>
      </c>
      <c r="M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8"/>
      <c r="J792" s="57"/>
      <c r="K792" s="57"/>
      <c r="L792" s="57" t="b">
        <v>0</v>
      </c>
      <c r="M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8"/>
      <c r="J793" s="57"/>
      <c r="K793" s="57"/>
      <c r="L793" s="57" t="b">
        <v>0</v>
      </c>
      <c r="M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8"/>
      <c r="J794" s="57"/>
      <c r="K794" s="57"/>
      <c r="L794" s="57" t="b">
        <v>0</v>
      </c>
      <c r="M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8"/>
      <c r="J795" s="57"/>
      <c r="K795" s="57"/>
      <c r="L795" s="57" t="b">
        <v>0</v>
      </c>
      <c r="M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8"/>
      <c r="J796" s="57"/>
      <c r="K796" s="57"/>
      <c r="L796" s="57" t="b">
        <v>0</v>
      </c>
      <c r="M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8"/>
      <c r="J797" s="57"/>
      <c r="K797" s="57"/>
      <c r="L797" s="57" t="b">
        <v>0</v>
      </c>
      <c r="M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8"/>
      <c r="J798" s="57"/>
      <c r="K798" s="57"/>
      <c r="L798" s="57" t="b">
        <v>0</v>
      </c>
      <c r="M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8"/>
      <c r="J799" s="57"/>
      <c r="K799" s="57"/>
      <c r="L799" s="57" t="b">
        <v>0</v>
      </c>
      <c r="M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8"/>
      <c r="J800" s="57"/>
      <c r="K800" s="57"/>
      <c r="L800" s="57" t="b">
        <v>0</v>
      </c>
      <c r="M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8"/>
      <c r="J801" s="57"/>
      <c r="K801" s="57"/>
      <c r="L801" s="57" t="b">
        <v>0</v>
      </c>
      <c r="M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8"/>
      <c r="J802" s="57"/>
      <c r="K802" s="57"/>
      <c r="L802" s="57" t="b">
        <v>0</v>
      </c>
      <c r="M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8"/>
      <c r="J803" s="57"/>
      <c r="K803" s="57"/>
      <c r="L803" s="57" t="b">
        <v>0</v>
      </c>
      <c r="M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8"/>
      <c r="J804" s="57"/>
      <c r="K804" s="57"/>
      <c r="L804" s="57" t="b">
        <v>0</v>
      </c>
      <c r="M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8"/>
      <c r="J805" s="57"/>
      <c r="K805" s="57"/>
      <c r="L805" s="57" t="b">
        <v>0</v>
      </c>
      <c r="M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8"/>
      <c r="J806" s="57"/>
      <c r="K806" s="57"/>
      <c r="L806" s="57" t="b">
        <v>0</v>
      </c>
      <c r="M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8"/>
      <c r="J807" s="57"/>
      <c r="K807" s="57"/>
      <c r="L807" s="57" t="b">
        <v>0</v>
      </c>
      <c r="M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8"/>
      <c r="J808" s="57"/>
      <c r="K808" s="57"/>
      <c r="L808" s="57" t="b">
        <v>0</v>
      </c>
      <c r="M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8"/>
      <c r="J809" s="57"/>
      <c r="K809" s="57"/>
      <c r="L809" s="57" t="b">
        <v>0</v>
      </c>
      <c r="M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8"/>
      <c r="J810" s="57"/>
      <c r="K810" s="57"/>
      <c r="L810" s="57" t="b">
        <v>0</v>
      </c>
      <c r="M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8"/>
      <c r="J811" s="57"/>
      <c r="K811" s="57"/>
      <c r="L811" s="57" t="b">
        <v>0</v>
      </c>
      <c r="M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8"/>
      <c r="J812" s="57"/>
      <c r="K812" s="57"/>
      <c r="L812" s="57" t="b">
        <v>0</v>
      </c>
      <c r="M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8"/>
      <c r="J813" s="57"/>
      <c r="K813" s="57"/>
      <c r="L813" s="57" t="b">
        <v>0</v>
      </c>
      <c r="M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8"/>
      <c r="J814" s="57"/>
      <c r="K814" s="57"/>
      <c r="L814" s="57" t="b">
        <v>0</v>
      </c>
      <c r="M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8"/>
      <c r="J815" s="57"/>
      <c r="K815" s="57"/>
      <c r="L815" s="57" t="b">
        <v>0</v>
      </c>
      <c r="M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8"/>
      <c r="J816" s="57"/>
      <c r="K816" s="57"/>
      <c r="L816" s="57" t="b">
        <v>0</v>
      </c>
      <c r="M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8"/>
      <c r="J817" s="57"/>
      <c r="K817" s="57"/>
      <c r="L817" s="57" t="b">
        <v>0</v>
      </c>
      <c r="M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8"/>
      <c r="J818" s="57"/>
      <c r="K818" s="57"/>
      <c r="L818" s="57" t="b">
        <v>0</v>
      </c>
      <c r="M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8"/>
      <c r="J819" s="57"/>
      <c r="K819" s="57"/>
      <c r="L819" s="57" t="b">
        <v>0</v>
      </c>
      <c r="M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8"/>
      <c r="J820" s="57"/>
      <c r="K820" s="57"/>
      <c r="L820" s="57" t="b">
        <v>0</v>
      </c>
      <c r="M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8"/>
      <c r="J821" s="57"/>
      <c r="K821" s="57"/>
      <c r="L821" s="57" t="b">
        <v>0</v>
      </c>
      <c r="M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8"/>
      <c r="J822" s="57"/>
      <c r="K822" s="57"/>
      <c r="L822" s="57" t="b">
        <v>0</v>
      </c>
      <c r="M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8"/>
      <c r="J823" s="57"/>
      <c r="K823" s="57"/>
      <c r="L823" s="57" t="b">
        <v>0</v>
      </c>
      <c r="M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8"/>
      <c r="J824" s="57"/>
      <c r="K824" s="57"/>
      <c r="L824" s="57" t="b">
        <v>0</v>
      </c>
      <c r="M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8"/>
      <c r="J825" s="57"/>
      <c r="K825" s="57"/>
      <c r="L825" s="57" t="b">
        <v>0</v>
      </c>
      <c r="M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8"/>
      <c r="J826" s="57"/>
      <c r="K826" s="57"/>
      <c r="L826" s="57" t="b">
        <v>0</v>
      </c>
      <c r="M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8"/>
      <c r="J827" s="57"/>
      <c r="K827" s="57"/>
      <c r="L827" s="57" t="b">
        <v>0</v>
      </c>
      <c r="M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8"/>
      <c r="J828" s="57"/>
      <c r="K828" s="57"/>
      <c r="L828" s="57" t="b">
        <v>0</v>
      </c>
      <c r="M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8"/>
      <c r="J829" s="57"/>
      <c r="K829" s="57"/>
      <c r="L829" s="57" t="b">
        <v>0</v>
      </c>
      <c r="M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8"/>
      <c r="J830" s="57"/>
      <c r="K830" s="57"/>
      <c r="L830" s="57" t="b">
        <v>0</v>
      </c>
      <c r="M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8"/>
      <c r="J831" s="57"/>
      <c r="K831" s="57"/>
      <c r="L831" s="57" t="b">
        <v>0</v>
      </c>
      <c r="M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8"/>
      <c r="J832" s="57"/>
      <c r="K832" s="57"/>
      <c r="L832" s="57" t="b">
        <v>0</v>
      </c>
      <c r="M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8"/>
      <c r="J833" s="57"/>
      <c r="K833" s="57"/>
      <c r="L833" s="57" t="b">
        <v>0</v>
      </c>
      <c r="M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8"/>
      <c r="J834" s="57"/>
      <c r="K834" s="57"/>
      <c r="L834" s="57" t="b">
        <v>0</v>
      </c>
      <c r="M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8"/>
      <c r="J835" s="57"/>
      <c r="K835" s="57"/>
      <c r="L835" s="57" t="b">
        <v>0</v>
      </c>
      <c r="M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8"/>
      <c r="J836" s="57"/>
      <c r="K836" s="57"/>
      <c r="L836" s="57" t="b">
        <v>0</v>
      </c>
      <c r="M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8"/>
      <c r="J837" s="57"/>
      <c r="K837" s="57"/>
      <c r="L837" s="57" t="b">
        <v>0</v>
      </c>
      <c r="M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8"/>
      <c r="J838" s="57"/>
      <c r="K838" s="57"/>
      <c r="L838" s="57" t="b">
        <v>0</v>
      </c>
      <c r="M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8"/>
      <c r="J839" s="57"/>
      <c r="K839" s="57"/>
      <c r="L839" s="57" t="b">
        <v>0</v>
      </c>
      <c r="M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8"/>
      <c r="J840" s="57"/>
      <c r="K840" s="57"/>
      <c r="L840" s="57" t="b">
        <v>0</v>
      </c>
      <c r="M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8"/>
      <c r="J841" s="57"/>
      <c r="K841" s="57"/>
      <c r="L841" s="57" t="b">
        <v>0</v>
      </c>
      <c r="M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8"/>
      <c r="J842" s="57"/>
      <c r="K842" s="57"/>
      <c r="L842" s="57" t="b">
        <v>0</v>
      </c>
      <c r="M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8"/>
      <c r="J843" s="57"/>
      <c r="K843" s="57"/>
      <c r="L843" s="57" t="b">
        <v>0</v>
      </c>
      <c r="M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8"/>
      <c r="J844" s="57"/>
      <c r="K844" s="57"/>
      <c r="L844" s="57" t="b">
        <v>0</v>
      </c>
      <c r="M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8"/>
      <c r="J845" s="57"/>
      <c r="K845" s="57"/>
      <c r="L845" s="57" t="b">
        <v>0</v>
      </c>
      <c r="M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8"/>
      <c r="J846" s="57"/>
      <c r="K846" s="57"/>
      <c r="L846" s="57" t="b">
        <v>0</v>
      </c>
      <c r="M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8"/>
      <c r="J847" s="57"/>
      <c r="K847" s="57"/>
      <c r="L847" s="57" t="b">
        <v>0</v>
      </c>
      <c r="M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8"/>
      <c r="J848" s="57"/>
      <c r="K848" s="57"/>
      <c r="L848" s="57" t="b">
        <v>0</v>
      </c>
      <c r="M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8"/>
      <c r="J849" s="57"/>
      <c r="K849" s="57"/>
      <c r="L849" s="57" t="b">
        <v>0</v>
      </c>
      <c r="M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8"/>
      <c r="J850" s="57"/>
      <c r="K850" s="57"/>
      <c r="L850" s="57" t="b">
        <v>0</v>
      </c>
      <c r="M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8"/>
      <c r="J851" s="57"/>
      <c r="K851" s="57"/>
      <c r="L851" s="57" t="b">
        <v>0</v>
      </c>
      <c r="M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8"/>
      <c r="J852" s="57"/>
      <c r="K852" s="57"/>
      <c r="L852" s="57" t="b">
        <v>0</v>
      </c>
      <c r="M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8"/>
      <c r="J853" s="57"/>
      <c r="K853" s="57"/>
      <c r="L853" s="57" t="b">
        <v>0</v>
      </c>
      <c r="M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8"/>
      <c r="J854" s="57"/>
      <c r="K854" s="57"/>
      <c r="L854" s="57" t="b">
        <v>0</v>
      </c>
      <c r="M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8"/>
      <c r="J855" s="57"/>
      <c r="K855" s="57"/>
      <c r="L855" s="57" t="b">
        <v>0</v>
      </c>
      <c r="M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8"/>
      <c r="J856" s="57"/>
      <c r="K856" s="57"/>
      <c r="L856" s="57" t="b">
        <v>0</v>
      </c>
      <c r="M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8"/>
      <c r="J857" s="57"/>
      <c r="K857" s="57"/>
      <c r="L857" s="57" t="b">
        <v>0</v>
      </c>
      <c r="M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8"/>
      <c r="J858" s="57"/>
      <c r="K858" s="57"/>
      <c r="L858" s="57" t="b">
        <v>0</v>
      </c>
      <c r="M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8"/>
      <c r="J859" s="57"/>
      <c r="K859" s="57"/>
      <c r="L859" s="57" t="b">
        <v>0</v>
      </c>
      <c r="M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8"/>
      <c r="J860" s="57"/>
      <c r="K860" s="57"/>
      <c r="L860" s="57" t="b">
        <v>0</v>
      </c>
      <c r="M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8"/>
      <c r="J861" s="57"/>
      <c r="K861" s="57"/>
      <c r="L861" s="57" t="b">
        <v>0</v>
      </c>
      <c r="M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8"/>
      <c r="J862" s="57"/>
      <c r="K862" s="57"/>
      <c r="L862" s="57" t="b">
        <v>0</v>
      </c>
      <c r="M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8"/>
      <c r="J863" s="57"/>
      <c r="K863" s="57"/>
      <c r="L863" s="57" t="b">
        <v>0</v>
      </c>
      <c r="M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8"/>
      <c r="J864" s="57"/>
      <c r="K864" s="57"/>
      <c r="L864" s="57" t="b">
        <v>0</v>
      </c>
      <c r="M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8"/>
      <c r="J865" s="57"/>
      <c r="K865" s="57"/>
      <c r="L865" s="57" t="b">
        <v>0</v>
      </c>
      <c r="M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8"/>
      <c r="J866" s="57"/>
      <c r="K866" s="57"/>
      <c r="L866" s="57" t="b">
        <v>0</v>
      </c>
      <c r="M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8"/>
      <c r="J867" s="57"/>
      <c r="K867" s="57"/>
      <c r="L867" s="57" t="b">
        <v>0</v>
      </c>
      <c r="M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8"/>
      <c r="J868" s="57"/>
      <c r="K868" s="57"/>
      <c r="L868" s="57" t="b">
        <v>0</v>
      </c>
      <c r="M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8"/>
      <c r="J869" s="57"/>
      <c r="K869" s="57"/>
      <c r="L869" s="57" t="b">
        <v>0</v>
      </c>
      <c r="M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8"/>
      <c r="J870" s="57"/>
      <c r="K870" s="57"/>
      <c r="L870" s="57" t="b">
        <v>0</v>
      </c>
      <c r="M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8"/>
      <c r="J871" s="57"/>
      <c r="K871" s="57"/>
      <c r="L871" s="57" t="b">
        <v>0</v>
      </c>
      <c r="M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8"/>
      <c r="J872" s="57"/>
      <c r="K872" s="57"/>
      <c r="L872" s="57" t="b">
        <v>0</v>
      </c>
      <c r="M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8"/>
      <c r="J873" s="57"/>
      <c r="K873" s="57"/>
      <c r="L873" s="57" t="b">
        <v>0</v>
      </c>
      <c r="M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8"/>
      <c r="J874" s="57"/>
      <c r="K874" s="57"/>
      <c r="L874" s="57" t="b">
        <v>0</v>
      </c>
      <c r="M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8"/>
      <c r="J875" s="57"/>
      <c r="K875" s="57"/>
      <c r="L875" s="57" t="b">
        <v>0</v>
      </c>
      <c r="M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8"/>
      <c r="J876" s="57"/>
      <c r="K876" s="57"/>
      <c r="L876" s="57" t="b">
        <v>0</v>
      </c>
      <c r="M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8"/>
      <c r="J877" s="57"/>
      <c r="K877" s="57"/>
      <c r="L877" s="57" t="b">
        <v>0</v>
      </c>
      <c r="M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8"/>
      <c r="J878" s="57"/>
      <c r="K878" s="57"/>
      <c r="L878" s="57" t="b">
        <v>0</v>
      </c>
      <c r="M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8"/>
      <c r="J879" s="57"/>
      <c r="K879" s="57"/>
      <c r="L879" s="57" t="b">
        <v>0</v>
      </c>
      <c r="M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8"/>
      <c r="J880" s="57"/>
      <c r="K880" s="57"/>
      <c r="L880" s="57" t="b">
        <v>0</v>
      </c>
      <c r="M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8"/>
      <c r="J881" s="57"/>
      <c r="K881" s="57"/>
      <c r="L881" s="57" t="b">
        <v>0</v>
      </c>
      <c r="M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8"/>
      <c r="J882" s="57"/>
      <c r="K882" s="57"/>
      <c r="L882" s="57" t="b">
        <v>0</v>
      </c>
      <c r="M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8"/>
      <c r="J883" s="57"/>
      <c r="K883" s="57"/>
      <c r="L883" s="57" t="b">
        <v>0</v>
      </c>
      <c r="M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8"/>
      <c r="J884" s="57"/>
      <c r="K884" s="57"/>
      <c r="L884" s="57" t="b">
        <v>0</v>
      </c>
      <c r="M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8"/>
      <c r="J885" s="57"/>
      <c r="K885" s="57"/>
      <c r="L885" s="57" t="b">
        <v>0</v>
      </c>
      <c r="M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8"/>
      <c r="J886" s="57"/>
      <c r="K886" s="57"/>
      <c r="L886" s="57" t="b">
        <v>0</v>
      </c>
      <c r="M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8"/>
      <c r="J887" s="57"/>
      <c r="K887" s="57"/>
      <c r="L887" s="57" t="b">
        <v>0</v>
      </c>
      <c r="M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8"/>
      <c r="J888" s="57"/>
      <c r="K888" s="57"/>
      <c r="L888" s="57" t="b">
        <v>0</v>
      </c>
      <c r="M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8"/>
      <c r="J889" s="57"/>
      <c r="K889" s="57"/>
      <c r="L889" s="57" t="b">
        <v>0</v>
      </c>
      <c r="M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8"/>
      <c r="J890" s="57"/>
      <c r="K890" s="57"/>
      <c r="L890" s="57" t="b">
        <v>0</v>
      </c>
      <c r="M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8"/>
      <c r="J891" s="57"/>
      <c r="K891" s="57"/>
      <c r="L891" s="57" t="b">
        <v>0</v>
      </c>
      <c r="M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8"/>
      <c r="J892" s="57"/>
      <c r="K892" s="57"/>
      <c r="L892" s="57" t="b">
        <v>0</v>
      </c>
      <c r="M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8"/>
      <c r="J893" s="57"/>
      <c r="K893" s="57"/>
      <c r="L893" s="57" t="b">
        <v>0</v>
      </c>
      <c r="M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8"/>
      <c r="J894" s="57"/>
      <c r="K894" s="57"/>
      <c r="L894" s="57" t="b">
        <v>0</v>
      </c>
      <c r="M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8"/>
      <c r="J895" s="57"/>
      <c r="K895" s="57"/>
      <c r="L895" s="57" t="b">
        <v>0</v>
      </c>
      <c r="M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8"/>
      <c r="J896" s="57"/>
      <c r="K896" s="57"/>
      <c r="L896" s="57" t="b">
        <v>0</v>
      </c>
      <c r="M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8"/>
      <c r="J897" s="57"/>
      <c r="K897" s="57"/>
      <c r="L897" s="57" t="b">
        <v>0</v>
      </c>
      <c r="M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8"/>
      <c r="J898" s="57"/>
      <c r="K898" s="57"/>
      <c r="L898" s="57" t="b">
        <v>0</v>
      </c>
      <c r="M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8"/>
      <c r="J899" s="57"/>
      <c r="K899" s="57"/>
      <c r="L899" s="57" t="b">
        <v>0</v>
      </c>
      <c r="M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8"/>
      <c r="J900" s="57"/>
      <c r="K900" s="57"/>
      <c r="L900" s="57" t="b">
        <v>0</v>
      </c>
      <c r="M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8"/>
      <c r="J901" s="57"/>
      <c r="K901" s="57"/>
      <c r="L901" s="57" t="b">
        <v>0</v>
      </c>
      <c r="M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8"/>
      <c r="J902" s="57"/>
      <c r="K902" s="57"/>
      <c r="L902" s="57" t="b">
        <v>0</v>
      </c>
      <c r="M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8"/>
      <c r="J903" s="57"/>
      <c r="K903" s="57"/>
      <c r="L903" s="57" t="b">
        <v>0</v>
      </c>
      <c r="M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8"/>
      <c r="J904" s="57"/>
      <c r="K904" s="57"/>
      <c r="L904" s="57" t="b">
        <v>0</v>
      </c>
      <c r="M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8"/>
      <c r="J905" s="57"/>
      <c r="K905" s="57"/>
      <c r="L905" s="57" t="b">
        <v>0</v>
      </c>
      <c r="M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8"/>
      <c r="J906" s="57"/>
      <c r="K906" s="57"/>
      <c r="L906" s="57" t="b">
        <v>0</v>
      </c>
      <c r="M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8"/>
      <c r="J907" s="57"/>
      <c r="K907" s="57"/>
      <c r="L907" s="57" t="b">
        <v>0</v>
      </c>
      <c r="M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8"/>
      <c r="J908" s="57"/>
      <c r="K908" s="57"/>
      <c r="L908" s="57" t="b">
        <v>0</v>
      </c>
      <c r="M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8"/>
      <c r="J909" s="57"/>
      <c r="K909" s="57"/>
      <c r="L909" s="57" t="b">
        <v>0</v>
      </c>
      <c r="M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8"/>
      <c r="J910" s="57"/>
      <c r="K910" s="57"/>
      <c r="L910" s="57" t="b">
        <v>0</v>
      </c>
      <c r="M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8"/>
      <c r="J911" s="57"/>
      <c r="K911" s="57"/>
      <c r="L911" s="57" t="b">
        <v>0</v>
      </c>
      <c r="M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8"/>
      <c r="J912" s="57"/>
      <c r="K912" s="57"/>
      <c r="L912" s="57" t="b">
        <v>0</v>
      </c>
      <c r="M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8"/>
      <c r="J913" s="57"/>
      <c r="K913" s="57"/>
      <c r="L913" s="57" t="b">
        <v>0</v>
      </c>
      <c r="M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8"/>
      <c r="J914" s="57"/>
      <c r="K914" s="57"/>
      <c r="L914" s="57" t="b">
        <v>0</v>
      </c>
      <c r="M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8"/>
      <c r="J915" s="57"/>
      <c r="K915" s="57"/>
      <c r="L915" s="57" t="b">
        <v>0</v>
      </c>
      <c r="M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8"/>
      <c r="J916" s="57"/>
      <c r="K916" s="57"/>
      <c r="L916" s="57" t="b">
        <v>0</v>
      </c>
      <c r="M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8"/>
      <c r="J917" s="57"/>
      <c r="K917" s="57"/>
      <c r="L917" s="57" t="b">
        <v>0</v>
      </c>
      <c r="M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8"/>
      <c r="J918" s="57"/>
      <c r="K918" s="57"/>
      <c r="L918" s="57" t="b">
        <v>0</v>
      </c>
      <c r="M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8"/>
      <c r="J919" s="57"/>
      <c r="K919" s="57"/>
      <c r="L919" s="57" t="b">
        <v>0</v>
      </c>
      <c r="M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8"/>
      <c r="J920" s="57"/>
      <c r="K920" s="57"/>
      <c r="L920" s="57" t="b">
        <v>0</v>
      </c>
      <c r="M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8"/>
      <c r="J921" s="57"/>
      <c r="K921" s="57"/>
      <c r="L921" s="57" t="b">
        <v>0</v>
      </c>
      <c r="M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8"/>
      <c r="J922" s="57"/>
      <c r="K922" s="57"/>
      <c r="L922" s="57" t="b">
        <v>0</v>
      </c>
      <c r="M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8"/>
      <c r="J923" s="57"/>
      <c r="K923" s="57"/>
      <c r="L923" s="57" t="b">
        <v>0</v>
      </c>
      <c r="M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8"/>
      <c r="J924" s="57"/>
      <c r="K924" s="57"/>
      <c r="L924" s="57" t="b">
        <v>0</v>
      </c>
      <c r="M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8"/>
      <c r="J925" s="57"/>
      <c r="K925" s="57"/>
      <c r="L925" s="57" t="b">
        <v>0</v>
      </c>
      <c r="M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8"/>
      <c r="J926" s="57"/>
      <c r="K926" s="57"/>
      <c r="L926" s="57" t="b">
        <v>0</v>
      </c>
      <c r="M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8"/>
      <c r="J927" s="57"/>
      <c r="K927" s="57"/>
      <c r="L927" s="57" t="b">
        <v>0</v>
      </c>
      <c r="M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8"/>
      <c r="J928" s="57"/>
      <c r="K928" s="57"/>
      <c r="L928" s="57" t="b">
        <v>0</v>
      </c>
      <c r="M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8"/>
      <c r="J929" s="57"/>
      <c r="K929" s="57"/>
      <c r="L929" s="57" t="b">
        <v>0</v>
      </c>
      <c r="M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8"/>
      <c r="J930" s="57"/>
      <c r="K930" s="57"/>
      <c r="L930" s="57" t="b">
        <v>0</v>
      </c>
      <c r="M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8"/>
      <c r="J931" s="57"/>
      <c r="K931" s="57"/>
      <c r="L931" s="57" t="b">
        <v>0</v>
      </c>
      <c r="M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8"/>
      <c r="J932" s="57"/>
      <c r="K932" s="57"/>
      <c r="L932" s="57" t="b">
        <v>0</v>
      </c>
      <c r="M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8"/>
      <c r="J933" s="57"/>
      <c r="K933" s="57"/>
      <c r="L933" s="57" t="b">
        <v>0</v>
      </c>
      <c r="M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8"/>
      <c r="J934" s="57"/>
      <c r="K934" s="57"/>
      <c r="L934" s="57" t="b">
        <v>0</v>
      </c>
      <c r="M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8"/>
      <c r="J935" s="57"/>
      <c r="K935" s="57"/>
      <c r="L935" s="57" t="b">
        <v>0</v>
      </c>
      <c r="M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8"/>
      <c r="J936" s="57"/>
      <c r="K936" s="57"/>
      <c r="L936" s="57" t="b">
        <v>0</v>
      </c>
      <c r="M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8"/>
      <c r="J937" s="57"/>
      <c r="K937" s="57"/>
      <c r="L937" s="57" t="b">
        <v>0</v>
      </c>
      <c r="M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8"/>
      <c r="J938" s="57"/>
      <c r="K938" s="57"/>
      <c r="L938" s="57" t="b">
        <v>0</v>
      </c>
      <c r="M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8"/>
      <c r="J939" s="57"/>
      <c r="K939" s="57"/>
      <c r="L939" s="57" t="b">
        <v>0</v>
      </c>
      <c r="M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8"/>
      <c r="J940" s="57"/>
      <c r="K940" s="57"/>
      <c r="L940" s="57" t="b">
        <v>0</v>
      </c>
      <c r="M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8"/>
      <c r="J941" s="57"/>
      <c r="K941" s="57"/>
      <c r="L941" s="57" t="b">
        <v>0</v>
      </c>
      <c r="M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8"/>
      <c r="J942" s="57"/>
      <c r="K942" s="57"/>
      <c r="L942" s="57" t="b">
        <v>0</v>
      </c>
      <c r="M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8"/>
      <c r="J943" s="57"/>
      <c r="K943" s="57"/>
      <c r="L943" s="57" t="b">
        <v>0</v>
      </c>
      <c r="M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8"/>
      <c r="J944" s="57"/>
      <c r="K944" s="57"/>
      <c r="L944" s="57" t="b">
        <v>0</v>
      </c>
      <c r="M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8"/>
      <c r="J945" s="57"/>
      <c r="K945" s="57"/>
      <c r="L945" s="57" t="b">
        <v>0</v>
      </c>
      <c r="M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8"/>
      <c r="J946" s="57"/>
      <c r="K946" s="57"/>
      <c r="L946" s="57" t="b">
        <v>0</v>
      </c>
      <c r="M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8"/>
      <c r="J947" s="57"/>
      <c r="K947" s="57"/>
      <c r="L947" s="57" t="b">
        <v>0</v>
      </c>
      <c r="M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8"/>
      <c r="J948" s="57"/>
      <c r="K948" s="57"/>
      <c r="L948" s="57" t="b">
        <v>0</v>
      </c>
      <c r="M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8"/>
      <c r="J949" s="57"/>
      <c r="K949" s="57"/>
      <c r="L949" s="57" t="b">
        <v>0</v>
      </c>
      <c r="M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8"/>
      <c r="J950" s="57"/>
      <c r="K950" s="57"/>
      <c r="L950" s="57" t="b">
        <v>0</v>
      </c>
      <c r="M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8"/>
      <c r="J951" s="57"/>
      <c r="K951" s="57"/>
      <c r="L951" s="57" t="b">
        <v>0</v>
      </c>
      <c r="M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8"/>
      <c r="J952" s="57"/>
      <c r="K952" s="57"/>
      <c r="L952" s="57" t="b">
        <v>0</v>
      </c>
      <c r="M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8"/>
      <c r="J953" s="57"/>
      <c r="K953" s="57"/>
      <c r="L953" s="57" t="b">
        <v>0</v>
      </c>
      <c r="M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8"/>
      <c r="J954" s="57"/>
      <c r="K954" s="57"/>
      <c r="L954" s="57" t="b">
        <v>0</v>
      </c>
      <c r="M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8"/>
      <c r="J955" s="57"/>
      <c r="K955" s="57"/>
      <c r="L955" s="57" t="b">
        <v>0</v>
      </c>
      <c r="M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8"/>
      <c r="J956" s="57"/>
      <c r="K956" s="57"/>
      <c r="L956" s="57" t="b">
        <v>0</v>
      </c>
      <c r="M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8"/>
      <c r="J957" s="57"/>
      <c r="K957" s="57"/>
      <c r="L957" s="57" t="b">
        <v>0</v>
      </c>
      <c r="M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8"/>
      <c r="J958" s="57"/>
      <c r="K958" s="57"/>
      <c r="L958" s="57" t="b">
        <v>0</v>
      </c>
      <c r="M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8"/>
      <c r="J959" s="57"/>
      <c r="K959" s="57"/>
      <c r="L959" s="57" t="b">
        <v>0</v>
      </c>
      <c r="M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8"/>
      <c r="J960" s="57"/>
      <c r="K960" s="57"/>
      <c r="L960" s="57" t="b">
        <v>0</v>
      </c>
      <c r="M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8"/>
      <c r="J961" s="57"/>
      <c r="K961" s="57"/>
      <c r="L961" s="57" t="b">
        <v>0</v>
      </c>
      <c r="M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8"/>
      <c r="J962" s="57"/>
      <c r="K962" s="57"/>
      <c r="L962" s="57" t="b">
        <v>0</v>
      </c>
      <c r="M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8"/>
      <c r="J963" s="57"/>
      <c r="K963" s="57"/>
      <c r="L963" s="57" t="b">
        <v>0</v>
      </c>
      <c r="M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8"/>
      <c r="J964" s="57"/>
      <c r="K964" s="57"/>
      <c r="L964" s="57" t="b">
        <v>0</v>
      </c>
      <c r="M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8"/>
      <c r="J965" s="57"/>
      <c r="K965" s="57"/>
      <c r="L965" s="57" t="b">
        <v>0</v>
      </c>
      <c r="M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8"/>
      <c r="J966" s="57"/>
      <c r="K966" s="57"/>
      <c r="L966" s="57" t="b">
        <v>0</v>
      </c>
      <c r="M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8"/>
      <c r="J967" s="57"/>
      <c r="K967" s="57"/>
      <c r="L967" s="57" t="b">
        <v>0</v>
      </c>
      <c r="M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8"/>
      <c r="J968" s="57"/>
      <c r="K968" s="57"/>
      <c r="L968" s="57" t="b">
        <v>0</v>
      </c>
      <c r="M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8"/>
      <c r="J969" s="57"/>
      <c r="K969" s="57"/>
      <c r="L969" s="57" t="b">
        <v>0</v>
      </c>
      <c r="M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8"/>
      <c r="J970" s="57"/>
      <c r="K970" s="57"/>
      <c r="L970" s="57" t="b">
        <v>0</v>
      </c>
      <c r="M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8"/>
      <c r="J971" s="57"/>
      <c r="K971" s="57"/>
      <c r="L971" s="57" t="b">
        <v>0</v>
      </c>
      <c r="M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8"/>
      <c r="J972" s="57"/>
      <c r="K972" s="57"/>
      <c r="L972" s="57" t="b">
        <v>0</v>
      </c>
      <c r="M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8"/>
      <c r="J973" s="57"/>
      <c r="K973" s="57"/>
      <c r="L973" s="57" t="b">
        <v>0</v>
      </c>
      <c r="M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8"/>
      <c r="J974" s="57"/>
      <c r="K974" s="57"/>
      <c r="L974" s="57" t="b">
        <v>0</v>
      </c>
      <c r="M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8"/>
      <c r="J975" s="57"/>
      <c r="K975" s="57"/>
      <c r="L975" s="57" t="b">
        <v>0</v>
      </c>
      <c r="M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8"/>
      <c r="J976" s="57"/>
      <c r="K976" s="57"/>
      <c r="L976" s="57" t="b">
        <v>0</v>
      </c>
      <c r="M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8"/>
      <c r="J977" s="57"/>
      <c r="K977" s="57"/>
      <c r="L977" s="57" t="b">
        <v>0</v>
      </c>
      <c r="M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8"/>
      <c r="J978" s="57"/>
      <c r="K978" s="57"/>
      <c r="L978" s="57" t="b">
        <v>0</v>
      </c>
      <c r="M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8"/>
      <c r="J979" s="57"/>
      <c r="K979" s="57"/>
      <c r="L979" s="57" t="b">
        <v>0</v>
      </c>
      <c r="M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8"/>
      <c r="J980" s="57"/>
      <c r="K980" s="57"/>
      <c r="L980" s="57" t="b">
        <v>0</v>
      </c>
      <c r="M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8"/>
      <c r="J981" s="57"/>
      <c r="K981" s="57"/>
      <c r="L981" s="57" t="b">
        <v>0</v>
      </c>
      <c r="M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8"/>
      <c r="J982" s="57"/>
      <c r="K982" s="57"/>
      <c r="L982" s="57" t="b">
        <v>0</v>
      </c>
      <c r="M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8"/>
      <c r="J983" s="57"/>
      <c r="K983" s="57"/>
      <c r="L983" s="57" t="b">
        <v>0</v>
      </c>
      <c r="M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8"/>
      <c r="J984" s="57"/>
      <c r="K984" s="57"/>
      <c r="L984" s="57" t="b">
        <v>0</v>
      </c>
      <c r="M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8"/>
      <c r="J985" s="57"/>
      <c r="K985" s="57"/>
      <c r="L985" s="57" t="b">
        <v>0</v>
      </c>
      <c r="M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8"/>
      <c r="J986" s="57"/>
      <c r="K986" s="57"/>
      <c r="L986" s="57" t="b">
        <v>0</v>
      </c>
      <c r="M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8"/>
      <c r="J987" s="57"/>
      <c r="K987" s="57"/>
      <c r="L987" s="57" t="b">
        <v>0</v>
      </c>
      <c r="M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8"/>
      <c r="J988" s="57"/>
      <c r="K988" s="57"/>
      <c r="L988" s="57" t="b">
        <v>0</v>
      </c>
      <c r="M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8"/>
      <c r="J989" s="57"/>
      <c r="K989" s="57"/>
      <c r="L989" s="57" t="b">
        <v>0</v>
      </c>
      <c r="M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8"/>
      <c r="J990" s="57"/>
      <c r="K990" s="57"/>
      <c r="L990" s="57" t="b">
        <v>0</v>
      </c>
      <c r="M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8"/>
      <c r="J991" s="57"/>
      <c r="K991" s="57"/>
      <c r="L991" s="57" t="b">
        <v>0</v>
      </c>
      <c r="M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8"/>
      <c r="J992" s="57"/>
      <c r="K992" s="57"/>
      <c r="L992" s="57" t="b">
        <v>0</v>
      </c>
      <c r="M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8"/>
      <c r="J993" s="57"/>
      <c r="K993" s="57"/>
      <c r="L993" s="57" t="b">
        <v>0</v>
      </c>
      <c r="M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8"/>
      <c r="J994" s="57"/>
      <c r="K994" s="57"/>
      <c r="L994" s="57" t="b">
        <v>0</v>
      </c>
      <c r="M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8"/>
      <c r="J995" s="57"/>
      <c r="K995" s="57"/>
      <c r="L995" s="57" t="b">
        <v>0</v>
      </c>
      <c r="M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8"/>
      <c r="J996" s="57"/>
      <c r="K996" s="57"/>
      <c r="L996" s="57" t="b">
        <v>0</v>
      </c>
      <c r="M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8"/>
      <c r="J997" s="57"/>
      <c r="K997" s="57"/>
      <c r="L997" s="57" t="b">
        <v>0</v>
      </c>
      <c r="M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8"/>
      <c r="J998" s="57"/>
      <c r="K998" s="57"/>
      <c r="L998" s="57" t="b">
        <v>0</v>
      </c>
      <c r="M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8"/>
      <c r="J999" s="57"/>
      <c r="K999" s="57"/>
      <c r="L999" s="57" t="b">
        <v>0</v>
      </c>
      <c r="M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8"/>
      <c r="J1000" s="57"/>
      <c r="K1000" s="57"/>
      <c r="L1000" s="57" t="b">
        <v>0</v>
      </c>
      <c r="M1000" s="5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5"/>
    <col customWidth="1" min="3" max="3" width="6.13"/>
    <col customWidth="1" min="4" max="4" width="6.63"/>
    <col customWidth="1" min="5" max="5" width="10.25"/>
    <col customWidth="1" min="6" max="6" width="12.38"/>
    <col customWidth="1" min="7" max="7" width="9.25"/>
    <col customWidth="1" min="8" max="8" width="17.0"/>
    <col customWidth="1" min="9" max="9" width="14.0"/>
    <col customWidth="1" min="10" max="10" width="15.0"/>
    <col customWidth="1" min="11" max="12" width="14.0"/>
    <col customWidth="1" min="13" max="13" width="64.0"/>
  </cols>
  <sheetData>
    <row r="1">
      <c r="A1" s="38" t="str">
        <f>IFERROR(__xludf.DUMMYFUNCTION("IMPORTRANGE(""https://docs.google.com/spreadsheets/d/1eO365hmI2Nm9_YssKGka92teOkoRD0uzSnM0r31D7ek/edit?pli=1#gid=606377111"",""2025 Geoff!A:k"")"),"Job #")</f>
        <v>Job #</v>
      </c>
      <c r="B1" s="28" t="str">
        <f>IFERROR(__xludf.DUMMYFUNCTION("""COMPUTED_VALUE"""),"Name")</f>
        <v>Name</v>
      </c>
      <c r="C1" s="28" t="str">
        <f>IFERROR(__xludf.DUMMYFUNCTION("""COMPUTED_VALUE"""),"Paid in Full")</f>
        <v>Paid in Full</v>
      </c>
      <c r="D1" s="28" t="str">
        <f>IFERROR(__xludf.DUMMYFUNCTION("""COMPUTED_VALUE"""),"GP")</f>
        <v>GP</v>
      </c>
      <c r="E1" s="28" t="str">
        <f>IFERROR(__xludf.DUMMYFUNCTION("""COMPUTED_VALUE"""),"Contract")</f>
        <v>Contract</v>
      </c>
      <c r="F1" s="28" t="str">
        <f>IFERROR(__xludf.DUMMYFUNCTION("""COMPUTED_VALUE"""),"Change Orders")</f>
        <v>Change Orders</v>
      </c>
      <c r="G1" s="28" t="str">
        <f>IFERROR(__xludf.DUMMYFUNCTION("""COMPUTED_VALUE"""),"Invoiced")</f>
        <v>Invoiced</v>
      </c>
      <c r="H1" s="28" t="str">
        <f>IFERROR(__xludf.DUMMYFUNCTION("""COMPUTED_VALUE"""),"Amount Paid")</f>
        <v>Amount Paid</v>
      </c>
      <c r="I1" s="29" t="str">
        <f>IFERROR(__xludf.DUMMYFUNCTION("""COMPUTED_VALUE"""),"Expected Commission")</f>
        <v>Expected Commission</v>
      </c>
      <c r="J1" s="29" t="str">
        <f>IFERROR(__xludf.DUMMYFUNCTION("""COMPUTED_VALUE"""),"Commission Paid")</f>
        <v>Commission Paid</v>
      </c>
      <c r="K1" s="67" t="str">
        <f>IFERROR(__xludf.DUMMYFUNCTION("""COMPUTED_VALUE"""),"Commission Owed")</f>
        <v>Commission Owed</v>
      </c>
      <c r="L1" s="31" t="s">
        <v>154</v>
      </c>
      <c r="M1" s="31" t="s">
        <v>148</v>
      </c>
    </row>
    <row r="2">
      <c r="A2" s="32">
        <f>IFERROR(__xludf.DUMMYFUNCTION("""COMPUTED_VALUE"""),2.0255074E7)</f>
        <v>20255074</v>
      </c>
      <c r="B2" s="32" t="str">
        <f>IFERROR(__xludf.DUMMYFUNCTION("""COMPUTED_VALUE"""),"Mike White")</f>
        <v>Mike White</v>
      </c>
      <c r="C2" s="33" t="b">
        <f>IFERROR(__xludf.DUMMYFUNCTION("""COMPUTED_VALUE"""),TRUE)</f>
        <v>1</v>
      </c>
      <c r="D2" s="33">
        <f>IFERROR(__xludf.DUMMYFUNCTION("""COMPUTED_VALUE"""),0.5460375816993465)</f>
        <v>0.5460375817</v>
      </c>
      <c r="E2" s="34">
        <f>IFERROR(__xludf.DUMMYFUNCTION("""COMPUTED_VALUE"""),1224.0)</f>
        <v>1224</v>
      </c>
      <c r="F2" s="34">
        <f>IFERROR(__xludf.DUMMYFUNCTION("""COMPUTED_VALUE"""),0.0)</f>
        <v>0</v>
      </c>
      <c r="G2" s="34">
        <f>IFERROR(__xludf.DUMMYFUNCTION("""COMPUTED_VALUE"""),1224.0)</f>
        <v>1224</v>
      </c>
      <c r="H2" s="34">
        <f>IFERROR(__xludf.DUMMYFUNCTION("""COMPUTED_VALUE"""),1224.0)</f>
        <v>1224</v>
      </c>
      <c r="I2" s="34">
        <f>IFERROR(__xludf.DUMMYFUNCTION("""COMPUTED_VALUE"""),0.0)</f>
        <v>0</v>
      </c>
      <c r="J2" s="34">
        <f>IFERROR(__xludf.DUMMYFUNCTION("""COMPUTED_VALUE"""),0.0)</f>
        <v>0</v>
      </c>
      <c r="K2" s="36">
        <f>IFERROR(__xludf.DUMMYFUNCTION("""COMPUTED_VALUE"""),0.0)</f>
        <v>0</v>
      </c>
      <c r="L2" s="37" t="b">
        <v>0</v>
      </c>
      <c r="M2" s="46"/>
    </row>
    <row r="3">
      <c r="A3" s="32">
        <f>IFERROR(__xludf.DUMMYFUNCTION("""COMPUTED_VALUE"""),2.0255083E7)</f>
        <v>20255083</v>
      </c>
      <c r="B3" s="32" t="str">
        <f>IFERROR(__xludf.DUMMYFUNCTION("""COMPUTED_VALUE"""),"Eric Whitney")</f>
        <v>Eric Whitney</v>
      </c>
      <c r="C3" s="33" t="b">
        <f>IFERROR(__xludf.DUMMYFUNCTION("""COMPUTED_VALUE"""),TRUE)</f>
        <v>1</v>
      </c>
      <c r="D3" s="33">
        <f>IFERROR(__xludf.DUMMYFUNCTION("""COMPUTED_VALUE"""),0.5773729992092275)</f>
        <v>0.5773729992</v>
      </c>
      <c r="E3" s="34">
        <f>IFERROR(__xludf.DUMMYFUNCTION("""COMPUTED_VALUE"""),2567.11)</f>
        <v>2567.11</v>
      </c>
      <c r="F3" s="34">
        <f>IFERROR(__xludf.DUMMYFUNCTION("""COMPUTED_VALUE"""),0.0)</f>
        <v>0</v>
      </c>
      <c r="G3" s="34">
        <f>IFERROR(__xludf.DUMMYFUNCTION("""COMPUTED_VALUE"""),2567.11)</f>
        <v>2567.11</v>
      </c>
      <c r="H3" s="34">
        <f>IFERROR(__xludf.DUMMYFUNCTION("""COMPUTED_VALUE"""),2567.11)</f>
        <v>2567.11</v>
      </c>
      <c r="I3" s="34">
        <f>IFERROR(__xludf.DUMMYFUNCTION("""COMPUTED_VALUE"""),0.0)</f>
        <v>0</v>
      </c>
      <c r="J3" s="34">
        <f>IFERROR(__xludf.DUMMYFUNCTION("""COMPUTED_VALUE"""),0.0)</f>
        <v>0</v>
      </c>
      <c r="K3" s="36">
        <f>IFERROR(__xludf.DUMMYFUNCTION("""COMPUTED_VALUE"""),0.0)</f>
        <v>0</v>
      </c>
      <c r="L3" s="37" t="b">
        <v>0</v>
      </c>
      <c r="M3" s="41"/>
    </row>
    <row r="4">
      <c r="A4" s="32">
        <f>IFERROR(__xludf.DUMMYFUNCTION("""COMPUTED_VALUE"""),2.0255088E7)</f>
        <v>20255088</v>
      </c>
      <c r="B4" s="32" t="str">
        <f>IFERROR(__xludf.DUMMYFUNCTION("""COMPUTED_VALUE"""),"Bruce Stapleton")</f>
        <v>Bruce Stapleton</v>
      </c>
      <c r="C4" s="33" t="b">
        <f>IFERROR(__xludf.DUMMYFUNCTION("""COMPUTED_VALUE"""),TRUE)</f>
        <v>1</v>
      </c>
      <c r="D4" s="33">
        <f>IFERROR(__xludf.DUMMYFUNCTION("""COMPUTED_VALUE"""),0.6619983450558543)</f>
        <v>0.6619983451</v>
      </c>
      <c r="E4" s="34">
        <f>IFERROR(__xludf.DUMMYFUNCTION("""COMPUTED_VALUE"""),1450.2)</f>
        <v>1450.2</v>
      </c>
      <c r="F4" s="34">
        <f>IFERROR(__xludf.DUMMYFUNCTION("""COMPUTED_VALUE"""),0.0)</f>
        <v>0</v>
      </c>
      <c r="G4" s="34">
        <f>IFERROR(__xludf.DUMMYFUNCTION("""COMPUTED_VALUE"""),1450.2)</f>
        <v>1450.2</v>
      </c>
      <c r="H4" s="34">
        <f>IFERROR(__xludf.DUMMYFUNCTION("""COMPUTED_VALUE"""),1450.2)</f>
        <v>1450.2</v>
      </c>
      <c r="I4" s="34">
        <f>IFERROR(__xludf.DUMMYFUNCTION("""COMPUTED_VALUE"""),0.0)</f>
        <v>0</v>
      </c>
      <c r="J4" s="34">
        <f>IFERROR(__xludf.DUMMYFUNCTION("""COMPUTED_VALUE"""),0.0)</f>
        <v>0</v>
      </c>
      <c r="K4" s="36">
        <f>IFERROR(__xludf.DUMMYFUNCTION("""COMPUTED_VALUE"""),0.0)</f>
        <v>0</v>
      </c>
      <c r="L4" s="37" t="b">
        <v>0</v>
      </c>
      <c r="M4" s="41"/>
    </row>
    <row r="5">
      <c r="A5" s="32">
        <f>IFERROR(__xludf.DUMMYFUNCTION("""COMPUTED_VALUE"""),2.0255091E7)</f>
        <v>20255091</v>
      </c>
      <c r="B5" s="32" t="str">
        <f>IFERROR(__xludf.DUMMYFUNCTION("""COMPUTED_VALUE"""),"Pete Avnaim")</f>
        <v>Pete Avnaim</v>
      </c>
      <c r="C5" s="32" t="b">
        <f>IFERROR(__xludf.DUMMYFUNCTION("""COMPUTED_VALUE"""),TRUE)</f>
        <v>1</v>
      </c>
      <c r="D5" s="33" t="str">
        <f>IFERROR(__xludf.DUMMYFUNCTION("""COMPUTED_VALUE"""),"")</f>
        <v/>
      </c>
      <c r="E5" s="34">
        <f>IFERROR(__xludf.DUMMYFUNCTION("""COMPUTED_VALUE"""),0.0)</f>
        <v>0</v>
      </c>
      <c r="F5" s="34">
        <f>IFERROR(__xludf.DUMMYFUNCTION("""COMPUTED_VALUE"""),0.0)</f>
        <v>0</v>
      </c>
      <c r="G5" s="34">
        <f>IFERROR(__xludf.DUMMYFUNCTION("""COMPUTED_VALUE"""),0.0)</f>
        <v>0</v>
      </c>
      <c r="H5" s="34">
        <f>IFERROR(__xludf.DUMMYFUNCTION("""COMPUTED_VALUE"""),0.0)</f>
        <v>0</v>
      </c>
      <c r="I5" s="34">
        <f>IFERROR(__xludf.DUMMYFUNCTION("""COMPUTED_VALUE"""),0.0)</f>
        <v>0</v>
      </c>
      <c r="J5" s="34">
        <f>IFERROR(__xludf.DUMMYFUNCTION("""COMPUTED_VALUE"""),0.0)</f>
        <v>0</v>
      </c>
      <c r="K5" s="36">
        <f>IFERROR(__xludf.DUMMYFUNCTION("""COMPUTED_VALUE"""),0.0)</f>
        <v>0</v>
      </c>
      <c r="L5" s="37" t="b">
        <v>0</v>
      </c>
      <c r="M5" s="41"/>
    </row>
    <row r="6">
      <c r="A6" s="32">
        <f>IFERROR(__xludf.DUMMYFUNCTION("""COMPUTED_VALUE"""),2.02551E7)</f>
        <v>20255100</v>
      </c>
      <c r="B6" s="32" t="str">
        <f>IFERROR(__xludf.DUMMYFUNCTION("""COMPUTED_VALUE"""),"Lewis Wray")</f>
        <v>Lewis Wray</v>
      </c>
      <c r="C6" s="33" t="b">
        <f>IFERROR(__xludf.DUMMYFUNCTION("""COMPUTED_VALUE"""),TRUE)</f>
        <v>1</v>
      </c>
      <c r="D6" s="33">
        <f>IFERROR(__xludf.DUMMYFUNCTION("""COMPUTED_VALUE"""),0.7231260431441575)</f>
        <v>0.7231260431</v>
      </c>
      <c r="E6" s="34">
        <f>IFERROR(__xludf.DUMMYFUNCTION("""COMPUTED_VALUE"""),3511.02)</f>
        <v>3511.02</v>
      </c>
      <c r="F6" s="34">
        <f>IFERROR(__xludf.DUMMYFUNCTION("""COMPUTED_VALUE"""),0.0)</f>
        <v>0</v>
      </c>
      <c r="G6" s="34">
        <f>IFERROR(__xludf.DUMMYFUNCTION("""COMPUTED_VALUE"""),3511.02)</f>
        <v>3511.02</v>
      </c>
      <c r="H6" s="34">
        <f>IFERROR(__xludf.DUMMYFUNCTION("""COMPUTED_VALUE"""),3511.02)</f>
        <v>3511.02</v>
      </c>
      <c r="I6" s="34">
        <f>IFERROR(__xludf.DUMMYFUNCTION("""COMPUTED_VALUE"""),0.0)</f>
        <v>0</v>
      </c>
      <c r="J6" s="34">
        <f>IFERROR(__xludf.DUMMYFUNCTION("""COMPUTED_VALUE"""),0.0)</f>
        <v>0</v>
      </c>
      <c r="K6" s="36">
        <f>IFERROR(__xludf.DUMMYFUNCTION("""COMPUTED_VALUE"""),0.0)</f>
        <v>0</v>
      </c>
      <c r="L6" s="37" t="b">
        <v>0</v>
      </c>
      <c r="M6" s="41"/>
    </row>
    <row r="7">
      <c r="A7" s="32">
        <f>IFERROR(__xludf.DUMMYFUNCTION("""COMPUTED_VALUE"""),2.0255101E7)</f>
        <v>20255101</v>
      </c>
      <c r="B7" s="32" t="str">
        <f>IFERROR(__xludf.DUMMYFUNCTION("""COMPUTED_VALUE"""),"INS - Lisa Cooper")</f>
        <v>INS - Lisa Cooper</v>
      </c>
      <c r="C7" s="32" t="b">
        <f>IFERROR(__xludf.DUMMYFUNCTION("""COMPUTED_VALUE"""),TRUE)</f>
        <v>1</v>
      </c>
      <c r="D7" s="33">
        <f>IFERROR(__xludf.DUMMYFUNCTION("""COMPUTED_VALUE"""),0.5919509564525611)</f>
        <v>0.5919509565</v>
      </c>
      <c r="E7" s="34">
        <f>IFERROR(__xludf.DUMMYFUNCTION("""COMPUTED_VALUE"""),7368.76)</f>
        <v>7368.76</v>
      </c>
      <c r="F7" s="34">
        <f>IFERROR(__xludf.DUMMYFUNCTION("""COMPUTED_VALUE"""),4044.7700000000004)</f>
        <v>4044.77</v>
      </c>
      <c r="G7" s="34">
        <f>IFERROR(__xludf.DUMMYFUNCTION("""COMPUTED_VALUE"""),11413.53)</f>
        <v>11413.53</v>
      </c>
      <c r="H7" s="34">
        <f>IFERROR(__xludf.DUMMYFUNCTION("""COMPUTED_VALUE"""),11413.53)</f>
        <v>11413.53</v>
      </c>
      <c r="I7" s="34">
        <f>IFERROR(__xludf.DUMMYFUNCTION("""COMPUTED_VALUE"""),0.0)</f>
        <v>0</v>
      </c>
      <c r="J7" s="34">
        <f>IFERROR(__xludf.DUMMYFUNCTION("""COMPUTED_VALUE"""),0.0)</f>
        <v>0</v>
      </c>
      <c r="K7" s="36">
        <f>IFERROR(__xludf.DUMMYFUNCTION("""COMPUTED_VALUE"""),0.0)</f>
        <v>0</v>
      </c>
      <c r="L7" s="37" t="b">
        <v>0</v>
      </c>
      <c r="M7" s="41"/>
    </row>
    <row r="8">
      <c r="A8" s="32">
        <f>IFERROR(__xludf.DUMMYFUNCTION("""COMPUTED_VALUE"""),2.0255116E7)</f>
        <v>20255116</v>
      </c>
      <c r="B8" s="32" t="str">
        <f>IFERROR(__xludf.DUMMYFUNCTION("""COMPUTED_VALUE"""),"Seth Coil")</f>
        <v>Seth Coil</v>
      </c>
      <c r="C8" s="32" t="b">
        <f>IFERROR(__xludf.DUMMYFUNCTION("""COMPUTED_VALUE"""),TRUE)</f>
        <v>1</v>
      </c>
      <c r="D8" s="33">
        <f>IFERROR(__xludf.DUMMYFUNCTION("""COMPUTED_VALUE"""),0.3232565051993207)</f>
        <v>0.3232565052</v>
      </c>
      <c r="E8" s="34">
        <f>IFERROR(__xludf.DUMMYFUNCTION("""COMPUTED_VALUE"""),4339.99)</f>
        <v>4339.99</v>
      </c>
      <c r="F8" s="34">
        <f>IFERROR(__xludf.DUMMYFUNCTION("""COMPUTED_VALUE"""),0.0)</f>
        <v>0</v>
      </c>
      <c r="G8" s="34">
        <f>IFERROR(__xludf.DUMMYFUNCTION("""COMPUTED_VALUE"""),4339.99)</f>
        <v>4339.99</v>
      </c>
      <c r="H8" s="34">
        <f>IFERROR(__xludf.DUMMYFUNCTION("""COMPUTED_VALUE"""),4339.99)</f>
        <v>4339.99</v>
      </c>
      <c r="I8" s="34">
        <f>IFERROR(__xludf.DUMMYFUNCTION("""COMPUTED_VALUE"""),0.0)</f>
        <v>0</v>
      </c>
      <c r="J8" s="34">
        <f>IFERROR(__xludf.DUMMYFUNCTION("""COMPUTED_VALUE"""),0.0)</f>
        <v>0</v>
      </c>
      <c r="K8" s="36">
        <f>IFERROR(__xludf.DUMMYFUNCTION("""COMPUTED_VALUE"""),0.0)</f>
        <v>0</v>
      </c>
      <c r="L8" s="37" t="b">
        <v>0</v>
      </c>
      <c r="M8" s="41"/>
    </row>
    <row r="9">
      <c r="A9" s="32">
        <f>IFERROR(__xludf.DUMMYFUNCTION("""COMPUTED_VALUE"""),2.0255118E7)</f>
        <v>20255118</v>
      </c>
      <c r="B9" s="32" t="str">
        <f>IFERROR(__xludf.DUMMYFUNCTION("""COMPUTED_VALUE"""),"Dustin Dietz")</f>
        <v>Dustin Dietz</v>
      </c>
      <c r="C9" s="32" t="b">
        <f>IFERROR(__xludf.DUMMYFUNCTION("""COMPUTED_VALUE"""),TRUE)</f>
        <v>1</v>
      </c>
      <c r="D9" s="33">
        <f>IFERROR(__xludf.DUMMYFUNCTION("""COMPUTED_VALUE"""),0.40593830584342916)</f>
        <v>0.4059383058</v>
      </c>
      <c r="E9" s="34">
        <f>IFERROR(__xludf.DUMMYFUNCTION("""COMPUTED_VALUE"""),19555.76)</f>
        <v>19555.76</v>
      </c>
      <c r="F9" s="34">
        <f>IFERROR(__xludf.DUMMYFUNCTION("""COMPUTED_VALUE"""),997.2400000000016)</f>
        <v>997.24</v>
      </c>
      <c r="G9" s="34">
        <f>IFERROR(__xludf.DUMMYFUNCTION("""COMPUTED_VALUE"""),20553.0)</f>
        <v>20553</v>
      </c>
      <c r="H9" s="34">
        <f>IFERROR(__xludf.DUMMYFUNCTION("""COMPUTED_VALUE"""),20553.0)</f>
        <v>20553</v>
      </c>
      <c r="I9" s="34">
        <f>IFERROR(__xludf.DUMMYFUNCTION("""COMPUTED_VALUE"""),1027.65)</f>
        <v>1027.65</v>
      </c>
      <c r="J9" s="34">
        <f>IFERROR(__xludf.DUMMYFUNCTION("""COMPUTED_VALUE"""),977.79)</f>
        <v>977.79</v>
      </c>
      <c r="K9" s="36">
        <f>IFERROR(__xludf.DUMMYFUNCTION("""COMPUTED_VALUE"""),0.0)</f>
        <v>0</v>
      </c>
      <c r="L9" s="37" t="b">
        <v>0</v>
      </c>
      <c r="M9" s="46" t="s">
        <v>155</v>
      </c>
    </row>
    <row r="10">
      <c r="A10" s="32">
        <f>IFERROR(__xludf.DUMMYFUNCTION("""COMPUTED_VALUE"""),2.025512E7)</f>
        <v>20255120</v>
      </c>
      <c r="B10" s="32" t="str">
        <f>IFERROR(__xludf.DUMMYFUNCTION("""COMPUTED_VALUE"""),"INS - Katie Merrell")</f>
        <v>INS - Katie Merrell</v>
      </c>
      <c r="C10" s="32" t="b">
        <f>IFERROR(__xludf.DUMMYFUNCTION("""COMPUTED_VALUE"""),TRUE)</f>
        <v>1</v>
      </c>
      <c r="D10" s="33">
        <f>IFERROR(__xludf.DUMMYFUNCTION("""COMPUTED_VALUE"""),0.39924591829735195)</f>
        <v>0.3992459183</v>
      </c>
      <c r="E10" s="34">
        <f>IFERROR(__xludf.DUMMYFUNCTION("""COMPUTED_VALUE"""),8390.25)</f>
        <v>8390.25</v>
      </c>
      <c r="F10" s="34">
        <f>IFERROR(__xludf.DUMMYFUNCTION("""COMPUTED_VALUE"""),210.9400000000005)</f>
        <v>210.94</v>
      </c>
      <c r="G10" s="34">
        <f>IFERROR(__xludf.DUMMYFUNCTION("""COMPUTED_VALUE"""),8390.25)</f>
        <v>8390.25</v>
      </c>
      <c r="H10" s="34">
        <f>IFERROR(__xludf.DUMMYFUNCTION("""COMPUTED_VALUE"""),8601.19)</f>
        <v>8601.19</v>
      </c>
      <c r="I10" s="34">
        <f>IFERROR(__xludf.DUMMYFUNCTION("""COMPUTED_VALUE"""),0.0)</f>
        <v>0</v>
      </c>
      <c r="J10" s="34">
        <f>IFERROR(__xludf.DUMMYFUNCTION("""COMPUTED_VALUE"""),0.0)</f>
        <v>0</v>
      </c>
      <c r="K10" s="36">
        <f>IFERROR(__xludf.DUMMYFUNCTION("""COMPUTED_VALUE"""),0.0)</f>
        <v>0</v>
      </c>
      <c r="L10" s="37" t="b">
        <v>0</v>
      </c>
      <c r="M10" s="41"/>
    </row>
    <row r="11">
      <c r="A11" s="32">
        <f>IFERROR(__xludf.DUMMYFUNCTION("""COMPUTED_VALUE"""),2.0255121E7)</f>
        <v>20255121</v>
      </c>
      <c r="B11" s="32" t="str">
        <f>IFERROR(__xludf.DUMMYFUNCTION("""COMPUTED_VALUE"""),"Christina Beach")</f>
        <v>Christina Beach</v>
      </c>
      <c r="C11" s="32" t="b">
        <f>IFERROR(__xludf.DUMMYFUNCTION("""COMPUTED_VALUE"""),TRUE)</f>
        <v>1</v>
      </c>
      <c r="D11" s="33">
        <f>IFERROR(__xludf.DUMMYFUNCTION("""COMPUTED_VALUE"""),0.5)</f>
        <v>0.5</v>
      </c>
      <c r="E11" s="34">
        <f>IFERROR(__xludf.DUMMYFUNCTION("""COMPUTED_VALUE"""),650.0)</f>
        <v>650</v>
      </c>
      <c r="F11" s="34">
        <f>IFERROR(__xludf.DUMMYFUNCTION("""COMPUTED_VALUE"""),650.0)</f>
        <v>650</v>
      </c>
      <c r="G11" s="34">
        <f>IFERROR(__xludf.DUMMYFUNCTION("""COMPUTED_VALUE"""),650.0)</f>
        <v>650</v>
      </c>
      <c r="H11" s="34">
        <f>IFERROR(__xludf.DUMMYFUNCTION("""COMPUTED_VALUE"""),1300.0)</f>
        <v>1300</v>
      </c>
      <c r="I11" s="34">
        <f>IFERROR(__xludf.DUMMYFUNCTION("""COMPUTED_VALUE"""),0.0)</f>
        <v>0</v>
      </c>
      <c r="J11" s="34">
        <f>IFERROR(__xludf.DUMMYFUNCTION("""COMPUTED_VALUE"""),0.0)</f>
        <v>0</v>
      </c>
      <c r="K11" s="36">
        <f>IFERROR(__xludf.DUMMYFUNCTION("""COMPUTED_VALUE"""),0.0)</f>
        <v>0</v>
      </c>
      <c r="L11" s="37" t="b">
        <v>0</v>
      </c>
      <c r="M11" s="41"/>
    </row>
    <row r="12">
      <c r="A12" s="32">
        <f>IFERROR(__xludf.DUMMYFUNCTION("""COMPUTED_VALUE"""),2.0255125E7)</f>
        <v>20255125</v>
      </c>
      <c r="B12" s="32" t="str">
        <f>IFERROR(__xludf.DUMMYFUNCTION("""COMPUTED_VALUE"""),"Amy Gibbons")</f>
        <v>Amy Gibbons</v>
      </c>
      <c r="C12" s="32" t="b">
        <f>IFERROR(__xludf.DUMMYFUNCTION("""COMPUTED_VALUE"""),TRUE)</f>
        <v>1</v>
      </c>
      <c r="D12" s="39">
        <f>IFERROR(__xludf.DUMMYFUNCTION("""COMPUTED_VALUE"""),0.15600591929545948)</f>
        <v>0.1560059193</v>
      </c>
      <c r="E12" s="34">
        <f>IFERROR(__xludf.DUMMYFUNCTION("""COMPUTED_VALUE"""),2770.6)</f>
        <v>2770.6</v>
      </c>
      <c r="F12" s="34">
        <f>IFERROR(__xludf.DUMMYFUNCTION("""COMPUTED_VALUE"""),0.0)</f>
        <v>0</v>
      </c>
      <c r="G12" s="34">
        <f>IFERROR(__xludf.DUMMYFUNCTION("""COMPUTED_VALUE"""),2770.6)</f>
        <v>2770.6</v>
      </c>
      <c r="H12" s="34">
        <f>IFERROR(__xludf.DUMMYFUNCTION("""COMPUTED_VALUE"""),2770.6)</f>
        <v>2770.6</v>
      </c>
      <c r="I12" s="34">
        <f>IFERROR(__xludf.DUMMYFUNCTION("""COMPUTED_VALUE"""),0.0)</f>
        <v>0</v>
      </c>
      <c r="J12" s="34">
        <f>IFERROR(__xludf.DUMMYFUNCTION("""COMPUTED_VALUE"""),0.0)</f>
        <v>0</v>
      </c>
      <c r="K12" s="36">
        <f>IFERROR(__xludf.DUMMYFUNCTION("""COMPUTED_VALUE"""),0.0)</f>
        <v>0</v>
      </c>
      <c r="L12" s="37" t="b">
        <v>0</v>
      </c>
      <c r="M12" s="41"/>
    </row>
    <row r="13">
      <c r="A13" s="32">
        <f>IFERROR(__xludf.DUMMYFUNCTION("""COMPUTED_VALUE"""),2.025513E7)</f>
        <v>20255130</v>
      </c>
      <c r="B13" s="32" t="str">
        <f>IFERROR(__xludf.DUMMYFUNCTION("""COMPUTED_VALUE"""),"Josh Swihart")</f>
        <v>Josh Swihart</v>
      </c>
      <c r="C13" s="32" t="b">
        <f>IFERROR(__xludf.DUMMYFUNCTION("""COMPUTED_VALUE"""),TRUE)</f>
        <v>1</v>
      </c>
      <c r="D13" s="33">
        <f>IFERROR(__xludf.DUMMYFUNCTION("""COMPUTED_VALUE"""),1.0)</f>
        <v>1</v>
      </c>
      <c r="E13" s="34">
        <f>IFERROR(__xludf.DUMMYFUNCTION("""COMPUTED_VALUE"""),1259.78)</f>
        <v>1259.78</v>
      </c>
      <c r="F13" s="34">
        <f>IFERROR(__xludf.DUMMYFUNCTION("""COMPUTED_VALUE"""),0.0)</f>
        <v>0</v>
      </c>
      <c r="G13" s="34">
        <f>IFERROR(__xludf.DUMMYFUNCTION("""COMPUTED_VALUE"""),1259.78)</f>
        <v>1259.78</v>
      </c>
      <c r="H13" s="34">
        <f>IFERROR(__xludf.DUMMYFUNCTION("""COMPUTED_VALUE"""),1259.78)</f>
        <v>1259.78</v>
      </c>
      <c r="I13" s="34">
        <f>IFERROR(__xludf.DUMMYFUNCTION("""COMPUTED_VALUE"""),62.989000000000004)</f>
        <v>62.989</v>
      </c>
      <c r="J13" s="34">
        <f>IFERROR(__xludf.DUMMYFUNCTION("""COMPUTED_VALUE"""),62.99)</f>
        <v>62.99</v>
      </c>
      <c r="K13" s="36">
        <f>IFERROR(__xludf.DUMMYFUNCTION("""COMPUTED_VALUE"""),0.0)</f>
        <v>0</v>
      </c>
      <c r="L13" s="37" t="b">
        <v>0</v>
      </c>
      <c r="M13" s="41"/>
    </row>
    <row r="14">
      <c r="A14" s="32">
        <f>IFERROR(__xludf.DUMMYFUNCTION("""COMPUTED_VALUE"""),2.0255136E7)</f>
        <v>20255136</v>
      </c>
      <c r="B14" s="32" t="str">
        <f>IFERROR(__xludf.DUMMYFUNCTION("""COMPUTED_VALUE"""),"INS - Paul Herzog")</f>
        <v>INS - Paul Herzog</v>
      </c>
      <c r="C14" s="32" t="b">
        <f>IFERROR(__xludf.DUMMYFUNCTION("""COMPUTED_VALUE"""),TRUE)</f>
        <v>1</v>
      </c>
      <c r="D14" s="39">
        <f>IFERROR(__xludf.DUMMYFUNCTION("""COMPUTED_VALUE"""),0.3154714285714286)</f>
        <v>0.3154714286</v>
      </c>
      <c r="E14" s="34">
        <f>IFERROR(__xludf.DUMMYFUNCTION("""COMPUTED_VALUE"""),8277.77)</f>
        <v>8277.77</v>
      </c>
      <c r="F14" s="34">
        <f>IFERROR(__xludf.DUMMYFUNCTION("""COMPUTED_VALUE"""),-1277.7700000000004)</f>
        <v>-1277.77</v>
      </c>
      <c r="G14" s="34">
        <f>IFERROR(__xludf.DUMMYFUNCTION("""COMPUTED_VALUE"""),8277.77)</f>
        <v>8277.77</v>
      </c>
      <c r="H14" s="34">
        <f>IFERROR(__xludf.DUMMYFUNCTION("""COMPUTED_VALUE"""),7000.0)</f>
        <v>7000</v>
      </c>
      <c r="I14" s="34">
        <f>IFERROR(__xludf.DUMMYFUNCTION("""COMPUTED_VALUE"""),0.0)</f>
        <v>0</v>
      </c>
      <c r="J14" s="34">
        <f>IFERROR(__xludf.DUMMYFUNCTION("""COMPUTED_VALUE"""),0.0)</f>
        <v>0</v>
      </c>
      <c r="K14" s="36">
        <f>IFERROR(__xludf.DUMMYFUNCTION("""COMPUTED_VALUE"""),0.0)</f>
        <v>0</v>
      </c>
      <c r="L14" s="37" t="b">
        <v>0</v>
      </c>
      <c r="M14" s="41"/>
    </row>
    <row r="15">
      <c r="A15" s="32">
        <f>IFERROR(__xludf.DUMMYFUNCTION("""COMPUTED_VALUE"""),2.0255139E7)</f>
        <v>20255139</v>
      </c>
      <c r="B15" s="32" t="str">
        <f>IFERROR(__xludf.DUMMYFUNCTION("""COMPUTED_VALUE"""),"Lisa Dillon")</f>
        <v>Lisa Dillon</v>
      </c>
      <c r="C15" s="32" t="b">
        <f>IFERROR(__xludf.DUMMYFUNCTION("""COMPUTED_VALUE"""),TRUE)</f>
        <v>1</v>
      </c>
      <c r="D15" s="39">
        <f>IFERROR(__xludf.DUMMYFUNCTION("""COMPUTED_VALUE"""),0.3075157465914545)</f>
        <v>0.3075157466</v>
      </c>
      <c r="E15" s="34">
        <f>IFERROR(__xludf.DUMMYFUNCTION("""COMPUTED_VALUE"""),8366.55)</f>
        <v>8366.55</v>
      </c>
      <c r="F15" s="34">
        <f>IFERROR(__xludf.DUMMYFUNCTION("""COMPUTED_VALUE"""),573.4800000000014)</f>
        <v>573.48</v>
      </c>
      <c r="G15" s="34">
        <f>IFERROR(__xludf.DUMMYFUNCTION("""COMPUTED_VALUE"""),8940.03)</f>
        <v>8940.03</v>
      </c>
      <c r="H15" s="34">
        <f>IFERROR(__xludf.DUMMYFUNCTION("""COMPUTED_VALUE"""),8940.03)</f>
        <v>8940.03</v>
      </c>
      <c r="I15" s="34">
        <f>IFERROR(__xludf.DUMMYFUNCTION("""COMPUTED_VALUE"""),0.0)</f>
        <v>0</v>
      </c>
      <c r="J15" s="34">
        <f>IFERROR(__xludf.DUMMYFUNCTION("""COMPUTED_VALUE"""),0.0)</f>
        <v>0</v>
      </c>
      <c r="K15" s="36">
        <f>IFERROR(__xludf.DUMMYFUNCTION("""COMPUTED_VALUE"""),0.0)</f>
        <v>0</v>
      </c>
      <c r="L15" s="37" t="b">
        <v>0</v>
      </c>
      <c r="M15" s="41"/>
    </row>
    <row r="16">
      <c r="A16" s="32">
        <f>IFERROR(__xludf.DUMMYFUNCTION("""COMPUTED_VALUE"""),2.0255142E7)</f>
        <v>20255142</v>
      </c>
      <c r="B16" s="32" t="str">
        <f>IFERROR(__xludf.DUMMYFUNCTION("""COMPUTED_VALUE"""),"Brett Schilling")</f>
        <v>Brett Schilling</v>
      </c>
      <c r="C16" s="32" t="b">
        <f>IFERROR(__xludf.DUMMYFUNCTION("""COMPUTED_VALUE"""),TRUE)</f>
        <v>1</v>
      </c>
      <c r="D16" s="33">
        <f>IFERROR(__xludf.DUMMYFUNCTION("""COMPUTED_VALUE"""),0.5)</f>
        <v>0.5</v>
      </c>
      <c r="E16" s="34">
        <f>IFERROR(__xludf.DUMMYFUNCTION("""COMPUTED_VALUE"""),500.0)</f>
        <v>500</v>
      </c>
      <c r="F16" s="34">
        <f>IFERROR(__xludf.DUMMYFUNCTION("""COMPUTED_VALUE"""),0.0)</f>
        <v>0</v>
      </c>
      <c r="G16" s="34">
        <f>IFERROR(__xludf.DUMMYFUNCTION("""COMPUTED_VALUE"""),500.0)</f>
        <v>500</v>
      </c>
      <c r="H16" s="34">
        <f>IFERROR(__xludf.DUMMYFUNCTION("""COMPUTED_VALUE"""),500.0)</f>
        <v>500</v>
      </c>
      <c r="I16" s="34">
        <f>IFERROR(__xludf.DUMMYFUNCTION("""COMPUTED_VALUE"""),25.0)</f>
        <v>25</v>
      </c>
      <c r="J16" s="34">
        <f>IFERROR(__xludf.DUMMYFUNCTION("""COMPUTED_VALUE"""),25.0)</f>
        <v>25</v>
      </c>
      <c r="K16" s="36">
        <f>IFERROR(__xludf.DUMMYFUNCTION("""COMPUTED_VALUE"""),0.0)</f>
        <v>0</v>
      </c>
      <c r="L16" s="37" t="b">
        <v>0</v>
      </c>
      <c r="M16" s="46" t="s">
        <v>155</v>
      </c>
    </row>
    <row r="17">
      <c r="A17" s="32">
        <f>IFERROR(__xludf.DUMMYFUNCTION("""COMPUTED_VALUE"""),2.0255143E7)</f>
        <v>20255143</v>
      </c>
      <c r="B17" s="32" t="str">
        <f>IFERROR(__xludf.DUMMYFUNCTION("""COMPUTED_VALUE"""),"Pat Spirito")</f>
        <v>Pat Spirito</v>
      </c>
      <c r="C17" s="32" t="b">
        <f>IFERROR(__xludf.DUMMYFUNCTION("""COMPUTED_VALUE"""),TRUE)</f>
        <v>1</v>
      </c>
      <c r="D17" s="33">
        <f>IFERROR(__xludf.DUMMYFUNCTION("""COMPUTED_VALUE"""),0.41509770022515274)</f>
        <v>0.4150977002</v>
      </c>
      <c r="E17" s="34">
        <f>IFERROR(__xludf.DUMMYFUNCTION("""COMPUTED_VALUE"""),24707.4)</f>
        <v>24707.4</v>
      </c>
      <c r="F17" s="34">
        <f>IFERROR(__xludf.DUMMYFUNCTION("""COMPUTED_VALUE"""),164.59999999999854)</f>
        <v>164.6</v>
      </c>
      <c r="G17" s="34">
        <f>IFERROR(__xludf.DUMMYFUNCTION("""COMPUTED_VALUE"""),24872.4)</f>
        <v>24872.4</v>
      </c>
      <c r="H17" s="34">
        <f>IFERROR(__xludf.DUMMYFUNCTION("""COMPUTED_VALUE"""),24872.0)</f>
        <v>24872</v>
      </c>
      <c r="I17" s="34">
        <f>IFERROR(__xludf.DUMMYFUNCTION("""COMPUTED_VALUE"""),0.0)</f>
        <v>0</v>
      </c>
      <c r="J17" s="34">
        <f>IFERROR(__xludf.DUMMYFUNCTION("""COMPUTED_VALUE"""),0.0)</f>
        <v>0</v>
      </c>
      <c r="K17" s="34">
        <f>IFERROR(__xludf.DUMMYFUNCTION("""COMPUTED_VALUE"""),0.0)</f>
        <v>0</v>
      </c>
      <c r="L17" s="32" t="b">
        <v>0</v>
      </c>
      <c r="M17" s="41"/>
    </row>
    <row r="18">
      <c r="A18" s="32">
        <f>IFERROR(__xludf.DUMMYFUNCTION("""COMPUTED_VALUE"""),2.0255144E7)</f>
        <v>20255144</v>
      </c>
      <c r="B18" s="32" t="str">
        <f>IFERROR(__xludf.DUMMYFUNCTION("""COMPUTED_VALUE"""),"INS - Matt Downing")</f>
        <v>INS - Matt Downing</v>
      </c>
      <c r="C18" s="32" t="b">
        <f>IFERROR(__xludf.DUMMYFUNCTION("""COMPUTED_VALUE"""),TRUE)</f>
        <v>1</v>
      </c>
      <c r="D18" s="33">
        <f>IFERROR(__xludf.DUMMYFUNCTION("""COMPUTED_VALUE"""),0.710882801694021)</f>
        <v>0.7108828017</v>
      </c>
      <c r="E18" s="34">
        <f>IFERROR(__xludf.DUMMYFUNCTION("""COMPUTED_VALUE"""),13738.58)</f>
        <v>13738.58</v>
      </c>
      <c r="F18" s="34">
        <f>IFERROR(__xludf.DUMMYFUNCTION("""COMPUTED_VALUE"""),-10933.42)</f>
        <v>-10933.42</v>
      </c>
      <c r="G18" s="34">
        <f>IFERROR(__xludf.DUMMYFUNCTION("""COMPUTED_VALUE"""),2805.16)</f>
        <v>2805.16</v>
      </c>
      <c r="H18" s="34">
        <f>IFERROR(__xludf.DUMMYFUNCTION("""COMPUTED_VALUE"""),2805.16)</f>
        <v>2805.16</v>
      </c>
      <c r="I18" s="34">
        <f>IFERROR(__xludf.DUMMYFUNCTION("""COMPUTED_VALUE"""),0.0)</f>
        <v>0</v>
      </c>
      <c r="J18" s="34">
        <f>IFERROR(__xludf.DUMMYFUNCTION("""COMPUTED_VALUE"""),0.0)</f>
        <v>0</v>
      </c>
      <c r="K18" s="34">
        <f>IFERROR(__xludf.DUMMYFUNCTION("""COMPUTED_VALUE"""),0.0)</f>
        <v>0</v>
      </c>
      <c r="L18" s="32" t="b">
        <v>0</v>
      </c>
      <c r="M18" s="41"/>
    </row>
    <row r="19">
      <c r="A19" s="32">
        <f>IFERROR(__xludf.DUMMYFUNCTION("""COMPUTED_VALUE"""),2.0255145E7)</f>
        <v>20255145</v>
      </c>
      <c r="B19" s="32" t="str">
        <f>IFERROR(__xludf.DUMMYFUNCTION("""COMPUTED_VALUE"""),"James Fry")</f>
        <v>James Fry</v>
      </c>
      <c r="C19" s="32" t="b">
        <f>IFERROR(__xludf.DUMMYFUNCTION("""COMPUTED_VALUE"""),TRUE)</f>
        <v>1</v>
      </c>
      <c r="D19" s="33">
        <f>IFERROR(__xludf.DUMMYFUNCTION("""COMPUTED_VALUE"""),0.5696639418710263)</f>
        <v>0.5696639419</v>
      </c>
      <c r="E19" s="34">
        <f>IFERROR(__xludf.DUMMYFUNCTION("""COMPUTED_VALUE"""),1376.25)</f>
        <v>1376.25</v>
      </c>
      <c r="F19" s="34">
        <f>IFERROR(__xludf.DUMMYFUNCTION("""COMPUTED_VALUE"""),0.0)</f>
        <v>0</v>
      </c>
      <c r="G19" s="34">
        <f>IFERROR(__xludf.DUMMYFUNCTION("""COMPUTED_VALUE"""),1376.25)</f>
        <v>1376.25</v>
      </c>
      <c r="H19" s="34">
        <f>IFERROR(__xludf.DUMMYFUNCTION("""COMPUTED_VALUE"""),1376.25)</f>
        <v>1376.25</v>
      </c>
      <c r="I19" s="34">
        <f>IFERROR(__xludf.DUMMYFUNCTION("""COMPUTED_VALUE"""),0.0)</f>
        <v>0</v>
      </c>
      <c r="J19" s="34">
        <f>IFERROR(__xludf.DUMMYFUNCTION("""COMPUTED_VALUE"""),0.0)</f>
        <v>0</v>
      </c>
      <c r="K19" s="34">
        <f>IFERROR(__xludf.DUMMYFUNCTION("""COMPUTED_VALUE"""),0.0)</f>
        <v>0</v>
      </c>
      <c r="L19" s="32" t="b">
        <v>0</v>
      </c>
      <c r="M19" s="28"/>
    </row>
    <row r="20">
      <c r="A20" s="32">
        <f>IFERROR(__xludf.DUMMYFUNCTION("""COMPUTED_VALUE"""),2.0255151E7)</f>
        <v>20255151</v>
      </c>
      <c r="B20" s="32" t="str">
        <f>IFERROR(__xludf.DUMMYFUNCTION("""COMPUTED_VALUE"""),"Emma Allen")</f>
        <v>Emma Allen</v>
      </c>
      <c r="C20" s="32" t="b">
        <f>IFERROR(__xludf.DUMMYFUNCTION("""COMPUTED_VALUE"""),TRUE)</f>
        <v>1</v>
      </c>
      <c r="D20" s="33">
        <f>IFERROR(__xludf.DUMMYFUNCTION("""COMPUTED_VALUE"""),0.4016412622403324)</f>
        <v>0.4016412622</v>
      </c>
      <c r="E20" s="34">
        <f>IFERROR(__xludf.DUMMYFUNCTION("""COMPUTED_VALUE"""),8461.78)</f>
        <v>8461.78</v>
      </c>
      <c r="F20" s="34">
        <f>IFERROR(__xludf.DUMMYFUNCTION("""COMPUTED_VALUE"""),0.0)</f>
        <v>0</v>
      </c>
      <c r="G20" s="34">
        <f>IFERROR(__xludf.DUMMYFUNCTION("""COMPUTED_VALUE"""),8461.78)</f>
        <v>8461.78</v>
      </c>
      <c r="H20" s="34">
        <f>IFERROR(__xludf.DUMMYFUNCTION("""COMPUTED_VALUE"""),8461.78)</f>
        <v>8461.78</v>
      </c>
      <c r="I20" s="34">
        <f>IFERROR(__xludf.DUMMYFUNCTION("""COMPUTED_VALUE"""),0.0)</f>
        <v>0</v>
      </c>
      <c r="J20" s="34">
        <f>IFERROR(__xludf.DUMMYFUNCTION("""COMPUTED_VALUE"""),0.0)</f>
        <v>0</v>
      </c>
      <c r="K20" s="36">
        <f>IFERROR(__xludf.DUMMYFUNCTION("""COMPUTED_VALUE"""),0.0)</f>
        <v>0</v>
      </c>
      <c r="L20" s="37" t="b">
        <v>0</v>
      </c>
      <c r="M20" s="28"/>
    </row>
    <row r="21">
      <c r="A21" s="32">
        <f>IFERROR(__xludf.DUMMYFUNCTION("""COMPUTED_VALUE"""),2.0255153E7)</f>
        <v>20255153</v>
      </c>
      <c r="B21" s="32" t="str">
        <f>IFERROR(__xludf.DUMMYFUNCTION("""COMPUTED_VALUE"""),"Todd Anderson")</f>
        <v>Todd Anderson</v>
      </c>
      <c r="C21" s="32" t="b">
        <f>IFERROR(__xludf.DUMMYFUNCTION("""COMPUTED_VALUE"""),TRUE)</f>
        <v>1</v>
      </c>
      <c r="D21" s="33">
        <f>IFERROR(__xludf.DUMMYFUNCTION("""COMPUTED_VALUE"""),0.47828414756795345)</f>
        <v>0.4782841476</v>
      </c>
      <c r="E21" s="34">
        <f>IFERROR(__xludf.DUMMYFUNCTION("""COMPUTED_VALUE"""),30898.05)</f>
        <v>30898.05</v>
      </c>
      <c r="F21" s="34">
        <f>IFERROR(__xludf.DUMMYFUNCTION("""COMPUTED_VALUE"""),4757.929999999997)</f>
        <v>4757.93</v>
      </c>
      <c r="G21" s="34">
        <f>IFERROR(__xludf.DUMMYFUNCTION("""COMPUTED_VALUE"""),34358.28)</f>
        <v>34358.28</v>
      </c>
      <c r="H21" s="34">
        <f>IFERROR(__xludf.DUMMYFUNCTION("""COMPUTED_VALUE"""),35655.979999999996)</f>
        <v>35655.98</v>
      </c>
      <c r="I21" s="34">
        <f>IFERROR(__xludf.DUMMYFUNCTION("""COMPUTED_VALUE"""),0.0)</f>
        <v>0</v>
      </c>
      <c r="J21" s="34">
        <f>IFERROR(__xludf.DUMMYFUNCTION("""COMPUTED_VALUE"""),0.0)</f>
        <v>0</v>
      </c>
      <c r="K21" s="36">
        <f>IFERROR(__xludf.DUMMYFUNCTION("""COMPUTED_VALUE"""),0.0)</f>
        <v>0</v>
      </c>
      <c r="L21" s="37" t="b">
        <v>0</v>
      </c>
      <c r="M21" s="28"/>
    </row>
    <row r="22">
      <c r="A22" s="32">
        <f>IFERROR(__xludf.DUMMYFUNCTION("""COMPUTED_VALUE"""),2.025516E7)</f>
        <v>20255160</v>
      </c>
      <c r="B22" s="32" t="str">
        <f>IFERROR(__xludf.DUMMYFUNCTION("""COMPUTED_VALUE"""),"Pat Daniels")</f>
        <v>Pat Daniels</v>
      </c>
      <c r="C22" s="32" t="b">
        <f>IFERROR(__xludf.DUMMYFUNCTION("""COMPUTED_VALUE"""),TRUE)</f>
        <v>1</v>
      </c>
      <c r="D22" s="33">
        <f>IFERROR(__xludf.DUMMYFUNCTION("""COMPUTED_VALUE"""),0.45658344357199127)</f>
        <v>0.4565834436</v>
      </c>
      <c r="E22" s="34">
        <f>IFERROR(__xludf.DUMMYFUNCTION("""COMPUTED_VALUE"""),14412.63)</f>
        <v>14412.63</v>
      </c>
      <c r="F22" s="34">
        <f>IFERROR(__xludf.DUMMYFUNCTION("""COMPUTED_VALUE"""),275.2000000000007)</f>
        <v>275.2</v>
      </c>
      <c r="G22" s="34">
        <f>IFERROR(__xludf.DUMMYFUNCTION("""COMPUTED_VALUE"""),14687.63)</f>
        <v>14687.63</v>
      </c>
      <c r="H22" s="34">
        <f>IFERROR(__xludf.DUMMYFUNCTION("""COMPUTED_VALUE"""),14687.83)</f>
        <v>14687.83</v>
      </c>
      <c r="I22" s="34">
        <f>IFERROR(__xludf.DUMMYFUNCTION("""COMPUTED_VALUE"""),734.3915000000001)</f>
        <v>734.3915</v>
      </c>
      <c r="J22" s="34">
        <f>IFERROR(__xludf.DUMMYFUNCTION("""COMPUTED_VALUE"""),720.63)</f>
        <v>720.63</v>
      </c>
      <c r="K22" s="34">
        <f>IFERROR(__xludf.DUMMYFUNCTION("""COMPUTED_VALUE"""),0.0)</f>
        <v>0</v>
      </c>
      <c r="L22" s="37" t="b">
        <v>0</v>
      </c>
      <c r="M22" s="46" t="s">
        <v>155</v>
      </c>
    </row>
    <row r="23">
      <c r="A23" s="32">
        <f>IFERROR(__xludf.DUMMYFUNCTION("""COMPUTED_VALUE"""),2.0255176E7)</f>
        <v>20255176</v>
      </c>
      <c r="B23" s="32" t="str">
        <f>IFERROR(__xludf.DUMMYFUNCTION("""COMPUTED_VALUE"""),"Ransae  Hall")</f>
        <v>Ransae  Hall</v>
      </c>
      <c r="C23" s="32" t="b">
        <f>IFERROR(__xludf.DUMMYFUNCTION("""COMPUTED_VALUE"""),TRUE)</f>
        <v>1</v>
      </c>
      <c r="D23" s="33">
        <f>IFERROR(__xludf.DUMMYFUNCTION("""COMPUTED_VALUE"""),0.4506232812634717)</f>
        <v>0.4506232813</v>
      </c>
      <c r="E23" s="34">
        <f>IFERROR(__xludf.DUMMYFUNCTION("""COMPUTED_VALUE"""),15486.94)</f>
        <v>15486.94</v>
      </c>
      <c r="F23" s="34">
        <f>IFERROR(__xludf.DUMMYFUNCTION("""COMPUTED_VALUE"""),55.0)</f>
        <v>55</v>
      </c>
      <c r="G23" s="34">
        <f>IFERROR(__xludf.DUMMYFUNCTION("""COMPUTED_VALUE"""),15541.94)</f>
        <v>15541.94</v>
      </c>
      <c r="H23" s="34">
        <f>IFERROR(__xludf.DUMMYFUNCTION("""COMPUTED_VALUE"""),15541.94)</f>
        <v>15541.94</v>
      </c>
      <c r="I23" s="34">
        <f>IFERROR(__xludf.DUMMYFUNCTION("""COMPUTED_VALUE"""),777.0970000000001)</f>
        <v>777.097</v>
      </c>
      <c r="J23" s="34">
        <f>IFERROR(__xludf.DUMMYFUNCTION("""COMPUTED_VALUE"""),774.35)</f>
        <v>774.35</v>
      </c>
      <c r="K23" s="34">
        <f>IFERROR(__xludf.DUMMYFUNCTION("""COMPUTED_VALUE"""),0.0)</f>
        <v>0</v>
      </c>
      <c r="L23" s="37" t="b">
        <v>0</v>
      </c>
      <c r="M23" s="46" t="s">
        <v>155</v>
      </c>
    </row>
    <row r="24">
      <c r="A24" s="32">
        <f>IFERROR(__xludf.DUMMYFUNCTION("""COMPUTED_VALUE"""),2.0255183E7)</f>
        <v>20255183</v>
      </c>
      <c r="B24" s="32" t="str">
        <f>IFERROR(__xludf.DUMMYFUNCTION("""COMPUTED_VALUE"""),"Barb Spurgeon")</f>
        <v>Barb Spurgeon</v>
      </c>
      <c r="C24" s="32" t="b">
        <f>IFERROR(__xludf.DUMMYFUNCTION("""COMPUTED_VALUE"""),TRUE)</f>
        <v>1</v>
      </c>
      <c r="D24" s="33">
        <f>IFERROR(__xludf.DUMMYFUNCTION("""COMPUTED_VALUE"""),0.5431164378827465)</f>
        <v>0.5431164379</v>
      </c>
      <c r="E24" s="34">
        <f>IFERROR(__xludf.DUMMYFUNCTION("""COMPUTED_VALUE"""),1296.78)</f>
        <v>1296.78</v>
      </c>
      <c r="F24" s="34">
        <f>IFERROR(__xludf.DUMMYFUNCTION("""COMPUTED_VALUE"""),150.0)</f>
        <v>150</v>
      </c>
      <c r="G24" s="34">
        <f>IFERROR(__xludf.DUMMYFUNCTION("""COMPUTED_VALUE"""),1296.78)</f>
        <v>1296.78</v>
      </c>
      <c r="H24" s="34">
        <f>IFERROR(__xludf.DUMMYFUNCTION("""COMPUTED_VALUE"""),1446.78)</f>
        <v>1446.78</v>
      </c>
      <c r="I24" s="34">
        <f>IFERROR(__xludf.DUMMYFUNCTION("""COMPUTED_VALUE"""),72.339)</f>
        <v>72.339</v>
      </c>
      <c r="J24" s="34">
        <f>IFERROR(__xludf.DUMMYFUNCTION("""COMPUTED_VALUE"""),64.84)</f>
        <v>64.84</v>
      </c>
      <c r="K24" s="36">
        <f>IFERROR(__xludf.DUMMYFUNCTION("""COMPUTED_VALUE"""),0.0)</f>
        <v>0</v>
      </c>
      <c r="L24" s="37" t="b">
        <v>0</v>
      </c>
      <c r="M24" s="46" t="s">
        <v>155</v>
      </c>
    </row>
    <row r="25">
      <c r="A25" s="32">
        <f>IFERROR(__xludf.DUMMYFUNCTION("""COMPUTED_VALUE"""),2.0255189E7)</f>
        <v>20255189</v>
      </c>
      <c r="B25" s="32" t="str">
        <f>IFERROR(__xludf.DUMMYFUNCTION("""COMPUTED_VALUE"""),"DeAnna Maertens")</f>
        <v>DeAnna Maertens</v>
      </c>
      <c r="C25" s="32" t="b">
        <f>IFERROR(__xludf.DUMMYFUNCTION("""COMPUTED_VALUE"""),TRUE)</f>
        <v>1</v>
      </c>
      <c r="D25" s="33">
        <f>IFERROR(__xludf.DUMMYFUNCTION("""COMPUTED_VALUE"""),0.5499411983475228)</f>
        <v>0.5499411983</v>
      </c>
      <c r="E25" s="34">
        <f>IFERROR(__xludf.DUMMYFUNCTION("""COMPUTED_VALUE"""),7776.87)</f>
        <v>7776.87</v>
      </c>
      <c r="F25" s="34">
        <f>IFERROR(__xludf.DUMMYFUNCTION("""COMPUTED_VALUE"""),182.09000000000015)</f>
        <v>182.09</v>
      </c>
      <c r="G25" s="34">
        <f>IFERROR(__xludf.DUMMYFUNCTION("""COMPUTED_VALUE"""),7958.96)</f>
        <v>7958.96</v>
      </c>
      <c r="H25" s="34">
        <f>IFERROR(__xludf.DUMMYFUNCTION("""COMPUTED_VALUE"""),7958.96)</f>
        <v>7958.96</v>
      </c>
      <c r="I25" s="34">
        <f>IFERROR(__xludf.DUMMYFUNCTION("""COMPUTED_VALUE"""),0.0)</f>
        <v>0</v>
      </c>
      <c r="J25" s="34">
        <f>IFERROR(__xludf.DUMMYFUNCTION("""COMPUTED_VALUE"""),0.0)</f>
        <v>0</v>
      </c>
      <c r="K25" s="34">
        <f>IFERROR(__xludf.DUMMYFUNCTION("""COMPUTED_VALUE"""),0.0)</f>
        <v>0</v>
      </c>
      <c r="L25" s="32" t="b">
        <v>0</v>
      </c>
      <c r="M25" s="28"/>
    </row>
    <row r="26">
      <c r="A26" s="32">
        <f>IFERROR(__xludf.DUMMYFUNCTION("""COMPUTED_VALUE"""),2.025519E7)</f>
        <v>20255190</v>
      </c>
      <c r="B26" s="32" t="str">
        <f>IFERROR(__xludf.DUMMYFUNCTION("""COMPUTED_VALUE"""),"Becky Horne")</f>
        <v>Becky Horne</v>
      </c>
      <c r="C26" s="32" t="b">
        <f>IFERROR(__xludf.DUMMYFUNCTION("""COMPUTED_VALUE"""),TRUE)</f>
        <v>1</v>
      </c>
      <c r="D26" s="33">
        <f>IFERROR(__xludf.DUMMYFUNCTION("""COMPUTED_VALUE"""),0.3877693873338559)</f>
        <v>0.3877693873</v>
      </c>
      <c r="E26" s="34">
        <f>IFERROR(__xludf.DUMMYFUNCTION("""COMPUTED_VALUE"""),38576.07)</f>
        <v>38576.07</v>
      </c>
      <c r="F26" s="34">
        <f>IFERROR(__xludf.DUMMYFUNCTION("""COMPUTED_VALUE"""),1053.6700000000055)</f>
        <v>1053.67</v>
      </c>
      <c r="G26" s="34">
        <f>IFERROR(__xludf.DUMMYFUNCTION("""COMPUTED_VALUE"""),17875.47)</f>
        <v>17875.47</v>
      </c>
      <c r="H26" s="34">
        <f>IFERROR(__xludf.DUMMYFUNCTION("""COMPUTED_VALUE"""),39629.740000000005)</f>
        <v>39629.74</v>
      </c>
      <c r="I26" s="34">
        <f>IFERROR(__xludf.DUMMYFUNCTION("""COMPUTED_VALUE"""),1981.4870000000003)</f>
        <v>1981.487</v>
      </c>
      <c r="J26" s="34">
        <f>IFERROR(__xludf.DUMMYFUNCTION("""COMPUTED_VALUE"""),1928.8)</f>
        <v>1928.8</v>
      </c>
      <c r="K26" s="36">
        <f>IFERROR(__xludf.DUMMYFUNCTION("""COMPUTED_VALUE"""),0.0)</f>
        <v>0</v>
      </c>
      <c r="L26" s="37" t="b">
        <v>0</v>
      </c>
      <c r="M26" s="46" t="s">
        <v>155</v>
      </c>
    </row>
    <row r="27">
      <c r="A27" s="32">
        <f>IFERROR(__xludf.DUMMYFUNCTION("""COMPUTED_VALUE"""),2.0255192E7)</f>
        <v>20255192</v>
      </c>
      <c r="B27" s="32" t="str">
        <f>IFERROR(__xludf.DUMMYFUNCTION("""COMPUTED_VALUE"""),"Gregg Treiber")</f>
        <v>Gregg Treiber</v>
      </c>
      <c r="C27" s="32" t="b">
        <f>IFERROR(__xludf.DUMMYFUNCTION("""COMPUTED_VALUE"""),TRUE)</f>
        <v>1</v>
      </c>
      <c r="D27" s="39">
        <f>IFERROR(__xludf.DUMMYFUNCTION("""COMPUTED_VALUE"""),0.3078734193888304)</f>
        <v>0.3078734194</v>
      </c>
      <c r="E27" s="34">
        <f>IFERROR(__xludf.DUMMYFUNCTION("""COMPUTED_VALUE"""),6073.6)</f>
        <v>6073.6</v>
      </c>
      <c r="F27" s="34">
        <f>IFERROR(__xludf.DUMMYFUNCTION("""COMPUTED_VALUE"""),0.0)</f>
        <v>0</v>
      </c>
      <c r="G27" s="34">
        <f>IFERROR(__xludf.DUMMYFUNCTION("""COMPUTED_VALUE"""),6073.6)</f>
        <v>6073.6</v>
      </c>
      <c r="H27" s="34">
        <f>IFERROR(__xludf.DUMMYFUNCTION("""COMPUTED_VALUE"""),6073.6)</f>
        <v>6073.6</v>
      </c>
      <c r="I27" s="34">
        <f>IFERROR(__xludf.DUMMYFUNCTION("""COMPUTED_VALUE"""),0.0)</f>
        <v>0</v>
      </c>
      <c r="J27" s="34">
        <f>IFERROR(__xludf.DUMMYFUNCTION("""COMPUTED_VALUE"""),0.0)</f>
        <v>0</v>
      </c>
      <c r="K27" s="34">
        <f>IFERROR(__xludf.DUMMYFUNCTION("""COMPUTED_VALUE"""),0.0)</f>
        <v>0</v>
      </c>
      <c r="L27" s="32" t="b">
        <v>0</v>
      </c>
      <c r="M27" s="28"/>
    </row>
    <row r="28">
      <c r="A28" s="32">
        <f>IFERROR(__xludf.DUMMYFUNCTION("""COMPUTED_VALUE"""),2.0255196E7)</f>
        <v>20255196</v>
      </c>
      <c r="B28" s="32" t="str">
        <f>IFERROR(__xludf.DUMMYFUNCTION("""COMPUTED_VALUE"""),"Frank Baxter")</f>
        <v>Frank Baxter</v>
      </c>
      <c r="C28" s="32" t="b">
        <f>IFERROR(__xludf.DUMMYFUNCTION("""COMPUTED_VALUE"""),TRUE)</f>
        <v>1</v>
      </c>
      <c r="D28" s="33">
        <f>IFERROR(__xludf.DUMMYFUNCTION("""COMPUTED_VALUE"""),0.3624648307932312)</f>
        <v>0.3624648308</v>
      </c>
      <c r="E28" s="34">
        <f>IFERROR(__xludf.DUMMYFUNCTION("""COMPUTED_VALUE"""),49280.61)</f>
        <v>49280.61</v>
      </c>
      <c r="F28" s="34">
        <f>IFERROR(__xludf.DUMMYFUNCTION("""COMPUTED_VALUE"""),-1127.6900000000023)</f>
        <v>-1127.69</v>
      </c>
      <c r="G28" s="34">
        <f>IFERROR(__xludf.DUMMYFUNCTION("""COMPUTED_VALUE"""),48252.92)</f>
        <v>48252.92</v>
      </c>
      <c r="H28" s="34">
        <f>IFERROR(__xludf.DUMMYFUNCTION("""COMPUTED_VALUE"""),48152.92)</f>
        <v>48152.92</v>
      </c>
      <c r="I28" s="34">
        <f>IFERROR(__xludf.DUMMYFUNCTION("""COMPUTED_VALUE"""),2407.646)</f>
        <v>2407.646</v>
      </c>
      <c r="J28" s="34">
        <f>IFERROR(__xludf.DUMMYFUNCTION("""COMPUTED_VALUE"""),2399.18)</f>
        <v>2399.18</v>
      </c>
      <c r="K28" s="34">
        <f>IFERROR(__xludf.DUMMYFUNCTION("""COMPUTED_VALUE"""),0.0)</f>
        <v>0</v>
      </c>
      <c r="L28" s="37" t="b">
        <v>0</v>
      </c>
      <c r="M28" s="46" t="s">
        <v>155</v>
      </c>
    </row>
    <row r="29">
      <c r="A29" s="32">
        <f>IFERROR(__xludf.DUMMYFUNCTION("""COMPUTED_VALUE"""),2.02552E7)</f>
        <v>20255200</v>
      </c>
      <c r="B29" s="32" t="str">
        <f>IFERROR(__xludf.DUMMYFUNCTION("""COMPUTED_VALUE"""),"Alex McFeters")</f>
        <v>Alex McFeters</v>
      </c>
      <c r="C29" s="32" t="b">
        <f>IFERROR(__xludf.DUMMYFUNCTION("""COMPUTED_VALUE"""),TRUE)</f>
        <v>1</v>
      </c>
      <c r="D29" s="33">
        <f>IFERROR(__xludf.DUMMYFUNCTION("""COMPUTED_VALUE"""),1.0)</f>
        <v>1</v>
      </c>
      <c r="E29" s="34">
        <f>IFERROR(__xludf.DUMMYFUNCTION("""COMPUTED_VALUE"""),3186.88)</f>
        <v>3186.88</v>
      </c>
      <c r="F29" s="34">
        <f>IFERROR(__xludf.DUMMYFUNCTION("""COMPUTED_VALUE"""),55.0)</f>
        <v>55</v>
      </c>
      <c r="G29" s="34">
        <f>IFERROR(__xludf.DUMMYFUNCTION("""COMPUTED_VALUE"""),3241.88)</f>
        <v>3241.88</v>
      </c>
      <c r="H29" s="34">
        <f>IFERROR(__xludf.DUMMYFUNCTION("""COMPUTED_VALUE"""),3241.88)</f>
        <v>3241.88</v>
      </c>
      <c r="I29" s="34">
        <f>IFERROR(__xludf.DUMMYFUNCTION("""COMPUTED_VALUE"""),162.09400000000002)</f>
        <v>162.094</v>
      </c>
      <c r="J29" s="34">
        <f>IFERROR(__xludf.DUMMYFUNCTION("""COMPUTED_VALUE"""),12.5)</f>
        <v>12.5</v>
      </c>
      <c r="K29" s="34">
        <f>IFERROR(__xludf.DUMMYFUNCTION("""COMPUTED_VALUE"""),0.0)</f>
        <v>0</v>
      </c>
      <c r="L29" s="37" t="b">
        <v>0</v>
      </c>
      <c r="M29" s="46" t="s">
        <v>155</v>
      </c>
    </row>
    <row r="30">
      <c r="A30" s="41">
        <f>IFERROR(__xludf.DUMMYFUNCTION("""COMPUTED_VALUE"""),2.0255205E7)</f>
        <v>20255205</v>
      </c>
      <c r="B30" s="41" t="str">
        <f>IFERROR(__xludf.DUMMYFUNCTION("""COMPUTED_VALUE"""),"INS - Karen Durning")</f>
        <v>INS - Karen Durning</v>
      </c>
      <c r="C30" s="41" t="b">
        <f>IFERROR(__xludf.DUMMYFUNCTION("""COMPUTED_VALUE"""),FALSE)</f>
        <v>0</v>
      </c>
      <c r="D30" s="42">
        <f>IFERROR(__xludf.DUMMYFUNCTION("""COMPUTED_VALUE"""),1.0)</f>
        <v>1</v>
      </c>
      <c r="E30" s="43">
        <f>IFERROR(__xludf.DUMMYFUNCTION("""COMPUTED_VALUE"""),10293.08)</f>
        <v>10293.08</v>
      </c>
      <c r="F30" s="43">
        <f>IFERROR(__xludf.DUMMYFUNCTION("""COMPUTED_VALUE"""),0.0)</f>
        <v>0</v>
      </c>
      <c r="G30" s="43">
        <f>IFERROR(__xludf.DUMMYFUNCTION("""COMPUTED_VALUE"""),7182.41)</f>
        <v>7182.41</v>
      </c>
      <c r="H30" s="43">
        <f>IFERROR(__xludf.DUMMYFUNCTION("""COMPUTED_VALUE"""),7182.41)</f>
        <v>7182.41</v>
      </c>
      <c r="I30" s="43">
        <f>IFERROR(__xludf.DUMMYFUNCTION("""COMPUTED_VALUE"""),514.654)</f>
        <v>514.654</v>
      </c>
      <c r="J30" s="43">
        <f>IFERROR(__xludf.DUMMYFUNCTION("""COMPUTED_VALUE"""),0.0)</f>
        <v>0</v>
      </c>
      <c r="K30" s="43">
        <f>IFERROR(__xludf.DUMMYFUNCTION("""COMPUTED_VALUE"""),0.0)</f>
        <v>0</v>
      </c>
      <c r="L30" s="46" t="b">
        <v>0</v>
      </c>
      <c r="M30" s="28"/>
    </row>
    <row r="31">
      <c r="A31" s="28" t="str">
        <f>IFERROR(__xludf.DUMMYFUNCTION("""COMPUTED_VALUE"""),"Grand Total")</f>
        <v>Grand Total</v>
      </c>
      <c r="B31" s="28"/>
      <c r="C31" s="28"/>
      <c r="D31" s="28"/>
      <c r="E31" s="29">
        <f>IFERROR(__xludf.DUMMYFUNCTION("""COMPUTED_VALUE"""),295797.31000000006)</f>
        <v>295797.31</v>
      </c>
      <c r="F31" s="29">
        <f>IFERROR(__xludf.DUMMYFUNCTION("""COMPUTED_VALUE"""),-168.9599999999973)</f>
        <v>-168.96</v>
      </c>
      <c r="G31" s="29">
        <f>IFERROR(__xludf.DUMMYFUNCTION("""COMPUTED_VALUE"""),269832.74)</f>
        <v>269832.74</v>
      </c>
      <c r="H31" s="29">
        <f>IFERROR(__xludf.DUMMYFUNCTION("""COMPUTED_VALUE"""),292517.68)</f>
        <v>292517.68</v>
      </c>
      <c r="I31" s="29">
        <f>IFERROR(__xludf.DUMMYFUNCTION("""COMPUTED_VALUE"""),14781.417500000003)</f>
        <v>14781.4175</v>
      </c>
      <c r="J31" s="29">
        <f>IFERROR(__xludf.DUMMYFUNCTION("""COMPUTED_VALUE"""),0.0)</f>
        <v>0</v>
      </c>
      <c r="K31" s="29">
        <f>IFERROR(__xludf.DUMMYFUNCTION("""COMPUTED_VALUE"""),0.0)</f>
        <v>0</v>
      </c>
      <c r="L31" s="28" t="b">
        <v>0</v>
      </c>
      <c r="M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9">
        <f>IFERROR(__xludf.DUMMYFUNCTION("""COMPUTED_VALUE"""),0.0)</f>
        <v>0</v>
      </c>
      <c r="K32" s="29">
        <f>IFERROR(__xludf.DUMMYFUNCTION("""COMPUTED_VALUE"""),0.0)</f>
        <v>0</v>
      </c>
      <c r="L32" s="28" t="b">
        <v>0</v>
      </c>
      <c r="M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9">
        <f>IFERROR(__xludf.DUMMYFUNCTION("""COMPUTED_VALUE"""),0.0)</f>
        <v>0</v>
      </c>
      <c r="K33" s="29">
        <f>IFERROR(__xludf.DUMMYFUNCTION("""COMPUTED_VALUE"""),0.0)</f>
        <v>0</v>
      </c>
      <c r="L33" s="28" t="b">
        <v>0</v>
      </c>
      <c r="M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9">
        <f>IFERROR(__xludf.DUMMYFUNCTION("""COMPUTED_VALUE"""),0.0)</f>
        <v>0</v>
      </c>
      <c r="K34" s="29">
        <f>IFERROR(__xludf.DUMMYFUNCTION("""COMPUTED_VALUE"""),0.0)</f>
        <v>0</v>
      </c>
      <c r="L34" s="28" t="b">
        <v>0</v>
      </c>
      <c r="M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9">
        <f>IFERROR(__xludf.DUMMYFUNCTION("""COMPUTED_VALUE"""),0.0)</f>
        <v>0</v>
      </c>
      <c r="K35" s="29">
        <f>IFERROR(__xludf.DUMMYFUNCTION("""COMPUTED_VALUE"""),0.0)</f>
        <v>0</v>
      </c>
      <c r="L35" s="28" t="b">
        <v>0</v>
      </c>
      <c r="M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9">
        <f>IFERROR(__xludf.DUMMYFUNCTION("""COMPUTED_VALUE"""),0.0)</f>
        <v>0</v>
      </c>
      <c r="K36" s="29">
        <f>IFERROR(__xludf.DUMMYFUNCTION("""COMPUTED_VALUE"""),0.0)</f>
        <v>0</v>
      </c>
      <c r="L36" s="28" t="b">
        <v>0</v>
      </c>
      <c r="M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9">
        <f>IFERROR(__xludf.DUMMYFUNCTION("""COMPUTED_VALUE"""),0.0)</f>
        <v>0</v>
      </c>
      <c r="K37" s="29">
        <f>IFERROR(__xludf.DUMMYFUNCTION("""COMPUTED_VALUE"""),0.0)</f>
        <v>0</v>
      </c>
      <c r="L37" s="28" t="b">
        <v>0</v>
      </c>
      <c r="M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9">
        <f>IFERROR(__xludf.DUMMYFUNCTION("""COMPUTED_VALUE"""),0.0)</f>
        <v>0</v>
      </c>
      <c r="K38" s="29">
        <f>IFERROR(__xludf.DUMMYFUNCTION("""COMPUTED_VALUE"""),0.0)</f>
        <v>0</v>
      </c>
      <c r="L38" s="28" t="b">
        <v>0</v>
      </c>
      <c r="M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9">
        <f>IFERROR(__xludf.DUMMYFUNCTION("""COMPUTED_VALUE"""),0.0)</f>
        <v>0</v>
      </c>
      <c r="K39" s="29">
        <f>IFERROR(__xludf.DUMMYFUNCTION("""COMPUTED_VALUE"""),0.0)</f>
        <v>0</v>
      </c>
      <c r="L39" s="28" t="b">
        <v>0</v>
      </c>
      <c r="M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9">
        <f>IFERROR(__xludf.DUMMYFUNCTION("""COMPUTED_VALUE"""),0.0)</f>
        <v>0</v>
      </c>
      <c r="K40" s="29">
        <f>IFERROR(__xludf.DUMMYFUNCTION("""COMPUTED_VALUE"""),0.0)</f>
        <v>0</v>
      </c>
      <c r="L40" s="28" t="b">
        <v>0</v>
      </c>
      <c r="M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9">
        <f>IFERROR(__xludf.DUMMYFUNCTION("""COMPUTED_VALUE"""),0.0)</f>
        <v>0</v>
      </c>
      <c r="K41" s="29">
        <f>IFERROR(__xludf.DUMMYFUNCTION("""COMPUTED_VALUE"""),0.0)</f>
        <v>0</v>
      </c>
      <c r="L41" s="28" t="b">
        <v>0</v>
      </c>
      <c r="M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9">
        <f>IFERROR(__xludf.DUMMYFUNCTION("""COMPUTED_VALUE"""),0.0)</f>
        <v>0</v>
      </c>
      <c r="K42" s="29">
        <f>IFERROR(__xludf.DUMMYFUNCTION("""COMPUTED_VALUE"""),0.0)</f>
        <v>0</v>
      </c>
      <c r="L42" s="28" t="b">
        <v>0</v>
      </c>
      <c r="M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9">
        <f>IFERROR(__xludf.DUMMYFUNCTION("""COMPUTED_VALUE"""),0.0)</f>
        <v>0</v>
      </c>
      <c r="K43" s="29">
        <f>IFERROR(__xludf.DUMMYFUNCTION("""COMPUTED_VALUE"""),0.0)</f>
        <v>0</v>
      </c>
      <c r="L43" s="28" t="b">
        <v>0</v>
      </c>
      <c r="M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9">
        <f>IFERROR(__xludf.DUMMYFUNCTION("""COMPUTED_VALUE"""),0.0)</f>
        <v>0</v>
      </c>
      <c r="K44" s="29">
        <f>IFERROR(__xludf.DUMMYFUNCTION("""COMPUTED_VALUE"""),0.0)</f>
        <v>0</v>
      </c>
      <c r="L44" s="28" t="b">
        <v>0</v>
      </c>
      <c r="M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9">
        <f>IFERROR(__xludf.DUMMYFUNCTION("""COMPUTED_VALUE"""),0.0)</f>
        <v>0</v>
      </c>
      <c r="K45" s="29">
        <f>IFERROR(__xludf.DUMMYFUNCTION("""COMPUTED_VALUE"""),0.0)</f>
        <v>0</v>
      </c>
      <c r="L45" s="28" t="b">
        <v>0</v>
      </c>
      <c r="M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9">
        <f>IFERROR(__xludf.DUMMYFUNCTION("""COMPUTED_VALUE"""),0.0)</f>
        <v>0</v>
      </c>
      <c r="K46" s="29">
        <f>IFERROR(__xludf.DUMMYFUNCTION("""COMPUTED_VALUE"""),0.0)</f>
        <v>0</v>
      </c>
      <c r="L46" s="28" t="b">
        <v>0</v>
      </c>
      <c r="M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9">
        <f>IFERROR(__xludf.DUMMYFUNCTION("""COMPUTED_VALUE"""),0.0)</f>
        <v>0</v>
      </c>
      <c r="K47" s="29">
        <f>IFERROR(__xludf.DUMMYFUNCTION("""COMPUTED_VALUE"""),0.0)</f>
        <v>0</v>
      </c>
      <c r="L47" s="28" t="b">
        <v>0</v>
      </c>
      <c r="M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9">
        <f>IFERROR(__xludf.DUMMYFUNCTION("""COMPUTED_VALUE"""),0.0)</f>
        <v>0</v>
      </c>
      <c r="K48" s="29">
        <f>IFERROR(__xludf.DUMMYFUNCTION("""COMPUTED_VALUE"""),0.0)</f>
        <v>0</v>
      </c>
      <c r="L48" s="28" t="b">
        <v>0</v>
      </c>
      <c r="M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9">
        <f>IFERROR(__xludf.DUMMYFUNCTION("""COMPUTED_VALUE"""),0.0)</f>
        <v>0</v>
      </c>
      <c r="K49" s="29">
        <f>IFERROR(__xludf.DUMMYFUNCTION("""COMPUTED_VALUE"""),0.0)</f>
        <v>0</v>
      </c>
      <c r="L49" s="28" t="b">
        <v>0</v>
      </c>
      <c r="M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9">
        <f>IFERROR(__xludf.DUMMYFUNCTION("""COMPUTED_VALUE"""),0.0)</f>
        <v>0</v>
      </c>
      <c r="K50" s="29">
        <f>IFERROR(__xludf.DUMMYFUNCTION("""COMPUTED_VALUE"""),0.0)</f>
        <v>0</v>
      </c>
      <c r="L50" s="28" t="b">
        <v>0</v>
      </c>
      <c r="M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9">
        <f>IFERROR(__xludf.DUMMYFUNCTION("""COMPUTED_VALUE"""),0.0)</f>
        <v>0</v>
      </c>
      <c r="K51" s="29">
        <f>IFERROR(__xludf.DUMMYFUNCTION("""COMPUTED_VALUE"""),0.0)</f>
        <v>0</v>
      </c>
      <c r="L51" s="28" t="b">
        <v>0</v>
      </c>
      <c r="M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9">
        <f>IFERROR(__xludf.DUMMYFUNCTION("""COMPUTED_VALUE"""),0.0)</f>
        <v>0</v>
      </c>
      <c r="K52" s="29">
        <f>IFERROR(__xludf.DUMMYFUNCTION("""COMPUTED_VALUE"""),0.0)</f>
        <v>0</v>
      </c>
      <c r="L52" s="28" t="b">
        <v>0</v>
      </c>
      <c r="M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9">
        <f>IFERROR(__xludf.DUMMYFUNCTION("""COMPUTED_VALUE"""),0.0)</f>
        <v>0</v>
      </c>
      <c r="K53" s="29">
        <f>IFERROR(__xludf.DUMMYFUNCTION("""COMPUTED_VALUE"""),0.0)</f>
        <v>0</v>
      </c>
      <c r="L53" s="28" t="b">
        <v>0</v>
      </c>
      <c r="M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9">
        <f>IFERROR(__xludf.DUMMYFUNCTION("""COMPUTED_VALUE"""),0.0)</f>
        <v>0</v>
      </c>
      <c r="K54" s="29">
        <f>IFERROR(__xludf.DUMMYFUNCTION("""COMPUTED_VALUE"""),0.0)</f>
        <v>0</v>
      </c>
      <c r="L54" s="28" t="b">
        <v>0</v>
      </c>
      <c r="M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9">
        <f>IFERROR(__xludf.DUMMYFUNCTION("""COMPUTED_VALUE"""),0.0)</f>
        <v>0</v>
      </c>
      <c r="K55" s="29">
        <f>IFERROR(__xludf.DUMMYFUNCTION("""COMPUTED_VALUE"""),0.0)</f>
        <v>0</v>
      </c>
      <c r="L55" s="28" t="b">
        <v>0</v>
      </c>
      <c r="M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9">
        <f>IFERROR(__xludf.DUMMYFUNCTION("""COMPUTED_VALUE"""),0.0)</f>
        <v>0</v>
      </c>
      <c r="K56" s="29">
        <f>IFERROR(__xludf.DUMMYFUNCTION("""COMPUTED_VALUE"""),0.0)</f>
        <v>0</v>
      </c>
      <c r="L56" s="28" t="b">
        <v>0</v>
      </c>
      <c r="M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9">
        <f>IFERROR(__xludf.DUMMYFUNCTION("""COMPUTED_VALUE"""),0.0)</f>
        <v>0</v>
      </c>
      <c r="K57" s="29">
        <f>IFERROR(__xludf.DUMMYFUNCTION("""COMPUTED_VALUE"""),0.0)</f>
        <v>0</v>
      </c>
      <c r="L57" s="28" t="b">
        <v>0</v>
      </c>
      <c r="M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9">
        <f>IFERROR(__xludf.DUMMYFUNCTION("""COMPUTED_VALUE"""),0.0)</f>
        <v>0</v>
      </c>
      <c r="K58" s="29">
        <f>IFERROR(__xludf.DUMMYFUNCTION("""COMPUTED_VALUE"""),0.0)</f>
        <v>0</v>
      </c>
      <c r="L58" s="28" t="b">
        <v>0</v>
      </c>
      <c r="M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9">
        <f>IFERROR(__xludf.DUMMYFUNCTION("""COMPUTED_VALUE"""),0.0)</f>
        <v>0</v>
      </c>
      <c r="K59" s="29">
        <f>IFERROR(__xludf.DUMMYFUNCTION("""COMPUTED_VALUE"""),0.0)</f>
        <v>0</v>
      </c>
      <c r="L59" s="28" t="b">
        <v>0</v>
      </c>
      <c r="M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9">
        <f>IFERROR(__xludf.DUMMYFUNCTION("""COMPUTED_VALUE"""),0.0)</f>
        <v>0</v>
      </c>
      <c r="K60" s="29">
        <f>IFERROR(__xludf.DUMMYFUNCTION("""COMPUTED_VALUE"""),0.0)</f>
        <v>0</v>
      </c>
      <c r="L60" s="28" t="b">
        <v>0</v>
      </c>
      <c r="M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9">
        <f>IFERROR(__xludf.DUMMYFUNCTION("""COMPUTED_VALUE"""),0.0)</f>
        <v>0</v>
      </c>
      <c r="K61" s="29">
        <f>IFERROR(__xludf.DUMMYFUNCTION("""COMPUTED_VALUE"""),0.0)</f>
        <v>0</v>
      </c>
      <c r="L61" s="28" t="b">
        <v>0</v>
      </c>
      <c r="M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9">
        <f>IFERROR(__xludf.DUMMYFUNCTION("""COMPUTED_VALUE"""),0.0)</f>
        <v>0</v>
      </c>
      <c r="K62" s="29">
        <f>IFERROR(__xludf.DUMMYFUNCTION("""COMPUTED_VALUE"""),0.0)</f>
        <v>0</v>
      </c>
      <c r="L62" s="28" t="b">
        <v>0</v>
      </c>
      <c r="M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9">
        <f>IFERROR(__xludf.DUMMYFUNCTION("""COMPUTED_VALUE"""),0.0)</f>
        <v>0</v>
      </c>
      <c r="K63" s="29">
        <f>IFERROR(__xludf.DUMMYFUNCTION("""COMPUTED_VALUE"""),0.0)</f>
        <v>0</v>
      </c>
      <c r="L63" s="28" t="b">
        <v>0</v>
      </c>
      <c r="M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9">
        <f>IFERROR(__xludf.DUMMYFUNCTION("""COMPUTED_VALUE"""),0.0)</f>
        <v>0</v>
      </c>
      <c r="K64" s="29">
        <f>IFERROR(__xludf.DUMMYFUNCTION("""COMPUTED_VALUE"""),0.0)</f>
        <v>0</v>
      </c>
      <c r="L64" s="28" t="b">
        <v>0</v>
      </c>
      <c r="M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9">
        <f>IFERROR(__xludf.DUMMYFUNCTION("""COMPUTED_VALUE"""),0.0)</f>
        <v>0</v>
      </c>
      <c r="K65" s="29">
        <f>IFERROR(__xludf.DUMMYFUNCTION("""COMPUTED_VALUE"""),0.0)</f>
        <v>0</v>
      </c>
      <c r="L65" s="28" t="b">
        <v>0</v>
      </c>
      <c r="M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9">
        <f>IFERROR(__xludf.DUMMYFUNCTION("""COMPUTED_VALUE"""),0.0)</f>
        <v>0</v>
      </c>
      <c r="K66" s="29">
        <f>IFERROR(__xludf.DUMMYFUNCTION("""COMPUTED_VALUE"""),0.0)</f>
        <v>0</v>
      </c>
      <c r="L66" s="28" t="b">
        <v>0</v>
      </c>
      <c r="M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9">
        <f>IFERROR(__xludf.DUMMYFUNCTION("""COMPUTED_VALUE"""),0.0)</f>
        <v>0</v>
      </c>
      <c r="K67" s="29">
        <f>IFERROR(__xludf.DUMMYFUNCTION("""COMPUTED_VALUE"""),0.0)</f>
        <v>0</v>
      </c>
      <c r="L67" s="28" t="b">
        <v>0</v>
      </c>
      <c r="M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9">
        <f>IFERROR(__xludf.DUMMYFUNCTION("""COMPUTED_VALUE"""),0.0)</f>
        <v>0</v>
      </c>
      <c r="K68" s="29">
        <f>IFERROR(__xludf.DUMMYFUNCTION("""COMPUTED_VALUE"""),0.0)</f>
        <v>0</v>
      </c>
      <c r="L68" s="28" t="b">
        <v>0</v>
      </c>
      <c r="M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9">
        <f>IFERROR(__xludf.DUMMYFUNCTION("""COMPUTED_VALUE"""),0.0)</f>
        <v>0</v>
      </c>
      <c r="K69" s="29">
        <f>IFERROR(__xludf.DUMMYFUNCTION("""COMPUTED_VALUE"""),0.0)</f>
        <v>0</v>
      </c>
      <c r="L69" s="28" t="b">
        <v>0</v>
      </c>
      <c r="M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9">
        <f>IFERROR(__xludf.DUMMYFUNCTION("""COMPUTED_VALUE"""),0.0)</f>
        <v>0</v>
      </c>
      <c r="K70" s="29">
        <f>IFERROR(__xludf.DUMMYFUNCTION("""COMPUTED_VALUE"""),0.0)</f>
        <v>0</v>
      </c>
      <c r="L70" s="28" t="b">
        <v>0</v>
      </c>
      <c r="M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9">
        <f>IFERROR(__xludf.DUMMYFUNCTION("""COMPUTED_VALUE"""),0.0)</f>
        <v>0</v>
      </c>
      <c r="K71" s="29">
        <f>IFERROR(__xludf.DUMMYFUNCTION("""COMPUTED_VALUE"""),0.0)</f>
        <v>0</v>
      </c>
      <c r="L71" s="28" t="b">
        <v>0</v>
      </c>
      <c r="M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9">
        <f>IFERROR(__xludf.DUMMYFUNCTION("""COMPUTED_VALUE"""),0.0)</f>
        <v>0</v>
      </c>
      <c r="K72" s="29">
        <f>IFERROR(__xludf.DUMMYFUNCTION("""COMPUTED_VALUE"""),0.0)</f>
        <v>0</v>
      </c>
      <c r="L72" s="28" t="b">
        <v>0</v>
      </c>
      <c r="M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9">
        <f>IFERROR(__xludf.DUMMYFUNCTION("""COMPUTED_VALUE"""),0.0)</f>
        <v>0</v>
      </c>
      <c r="K73" s="29">
        <f>IFERROR(__xludf.DUMMYFUNCTION("""COMPUTED_VALUE"""),0.0)</f>
        <v>0</v>
      </c>
      <c r="L73" s="28" t="b">
        <v>0</v>
      </c>
      <c r="M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9">
        <f>IFERROR(__xludf.DUMMYFUNCTION("""COMPUTED_VALUE"""),0.0)</f>
        <v>0</v>
      </c>
      <c r="K74" s="29">
        <f>IFERROR(__xludf.DUMMYFUNCTION("""COMPUTED_VALUE"""),0.0)</f>
        <v>0</v>
      </c>
      <c r="L74" s="28" t="b">
        <v>0</v>
      </c>
      <c r="M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9">
        <f>IFERROR(__xludf.DUMMYFUNCTION("""COMPUTED_VALUE"""),0.0)</f>
        <v>0</v>
      </c>
      <c r="K75" s="29">
        <f>IFERROR(__xludf.DUMMYFUNCTION("""COMPUTED_VALUE"""),0.0)</f>
        <v>0</v>
      </c>
      <c r="L75" s="28" t="b">
        <v>0</v>
      </c>
      <c r="M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9">
        <f>IFERROR(__xludf.DUMMYFUNCTION("""COMPUTED_VALUE"""),0.0)</f>
        <v>0</v>
      </c>
      <c r="K76" s="29">
        <f>IFERROR(__xludf.DUMMYFUNCTION("""COMPUTED_VALUE"""),0.0)</f>
        <v>0</v>
      </c>
      <c r="L76" s="28" t="b">
        <v>0</v>
      </c>
      <c r="M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9">
        <f>IFERROR(__xludf.DUMMYFUNCTION("""COMPUTED_VALUE"""),0.0)</f>
        <v>0</v>
      </c>
      <c r="K77" s="29">
        <f>IFERROR(__xludf.DUMMYFUNCTION("""COMPUTED_VALUE"""),0.0)</f>
        <v>0</v>
      </c>
      <c r="L77" s="28" t="b">
        <v>0</v>
      </c>
      <c r="M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9">
        <f>IFERROR(__xludf.DUMMYFUNCTION("""COMPUTED_VALUE"""),0.0)</f>
        <v>0</v>
      </c>
      <c r="K78" s="29">
        <f>IFERROR(__xludf.DUMMYFUNCTION("""COMPUTED_VALUE"""),0.0)</f>
        <v>0</v>
      </c>
      <c r="L78" s="28" t="b">
        <v>0</v>
      </c>
      <c r="M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9">
        <f>IFERROR(__xludf.DUMMYFUNCTION("""COMPUTED_VALUE"""),0.0)</f>
        <v>0</v>
      </c>
      <c r="K79" s="29">
        <f>IFERROR(__xludf.DUMMYFUNCTION("""COMPUTED_VALUE"""),0.0)</f>
        <v>0</v>
      </c>
      <c r="L79" s="28" t="b">
        <v>0</v>
      </c>
      <c r="M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9">
        <f>IFERROR(__xludf.DUMMYFUNCTION("""COMPUTED_VALUE"""),0.0)</f>
        <v>0</v>
      </c>
      <c r="K80" s="29">
        <f>IFERROR(__xludf.DUMMYFUNCTION("""COMPUTED_VALUE"""),0.0)</f>
        <v>0</v>
      </c>
      <c r="L80" s="28" t="b">
        <v>0</v>
      </c>
      <c r="M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9">
        <f>IFERROR(__xludf.DUMMYFUNCTION("""COMPUTED_VALUE"""),0.0)</f>
        <v>0</v>
      </c>
      <c r="K81" s="29">
        <f>IFERROR(__xludf.DUMMYFUNCTION("""COMPUTED_VALUE"""),0.0)</f>
        <v>0</v>
      </c>
      <c r="L81" s="28" t="b">
        <v>0</v>
      </c>
      <c r="M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9">
        <f>IFERROR(__xludf.DUMMYFUNCTION("""COMPUTED_VALUE"""),0.0)</f>
        <v>0</v>
      </c>
      <c r="K82" s="29">
        <f>IFERROR(__xludf.DUMMYFUNCTION("""COMPUTED_VALUE"""),0.0)</f>
        <v>0</v>
      </c>
      <c r="L82" s="28" t="b">
        <v>0</v>
      </c>
      <c r="M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9">
        <f>IFERROR(__xludf.DUMMYFUNCTION("""COMPUTED_VALUE"""),0.0)</f>
        <v>0</v>
      </c>
      <c r="K83" s="29">
        <f>IFERROR(__xludf.DUMMYFUNCTION("""COMPUTED_VALUE"""),0.0)</f>
        <v>0</v>
      </c>
      <c r="L83" s="28" t="b">
        <v>0</v>
      </c>
      <c r="M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9">
        <f>IFERROR(__xludf.DUMMYFUNCTION("""COMPUTED_VALUE"""),0.0)</f>
        <v>0</v>
      </c>
      <c r="K84" s="29">
        <f>IFERROR(__xludf.DUMMYFUNCTION("""COMPUTED_VALUE"""),0.0)</f>
        <v>0</v>
      </c>
      <c r="L84" s="28" t="b">
        <v>0</v>
      </c>
      <c r="M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9">
        <f>IFERROR(__xludf.DUMMYFUNCTION("""COMPUTED_VALUE"""),0.0)</f>
        <v>0</v>
      </c>
      <c r="K85" s="29">
        <f>IFERROR(__xludf.DUMMYFUNCTION("""COMPUTED_VALUE"""),0.0)</f>
        <v>0</v>
      </c>
      <c r="L85" s="28" t="b">
        <v>0</v>
      </c>
      <c r="M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9">
        <f>IFERROR(__xludf.DUMMYFUNCTION("""COMPUTED_VALUE"""),0.0)</f>
        <v>0</v>
      </c>
      <c r="K86" s="29">
        <f>IFERROR(__xludf.DUMMYFUNCTION("""COMPUTED_VALUE"""),0.0)</f>
        <v>0</v>
      </c>
      <c r="L86" s="28" t="b">
        <v>0</v>
      </c>
      <c r="M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9">
        <f>IFERROR(__xludf.DUMMYFUNCTION("""COMPUTED_VALUE"""),0.0)</f>
        <v>0</v>
      </c>
      <c r="K87" s="29">
        <f>IFERROR(__xludf.DUMMYFUNCTION("""COMPUTED_VALUE"""),0.0)</f>
        <v>0</v>
      </c>
      <c r="L87" s="28" t="b">
        <v>0</v>
      </c>
      <c r="M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9">
        <f>IFERROR(__xludf.DUMMYFUNCTION("""COMPUTED_VALUE"""),0.0)</f>
        <v>0</v>
      </c>
      <c r="K88" s="29">
        <f>IFERROR(__xludf.DUMMYFUNCTION("""COMPUTED_VALUE"""),0.0)</f>
        <v>0</v>
      </c>
      <c r="L88" s="28" t="b">
        <v>0</v>
      </c>
      <c r="M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9">
        <f>IFERROR(__xludf.DUMMYFUNCTION("""COMPUTED_VALUE"""),0.0)</f>
        <v>0</v>
      </c>
      <c r="K89" s="29">
        <f>IFERROR(__xludf.DUMMYFUNCTION("""COMPUTED_VALUE"""),0.0)</f>
        <v>0</v>
      </c>
      <c r="L89" s="28" t="b">
        <v>0</v>
      </c>
      <c r="M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9">
        <f>IFERROR(__xludf.DUMMYFUNCTION("""COMPUTED_VALUE"""),0.0)</f>
        <v>0</v>
      </c>
      <c r="K90" s="29">
        <f>IFERROR(__xludf.DUMMYFUNCTION("""COMPUTED_VALUE"""),0.0)</f>
        <v>0</v>
      </c>
      <c r="L90" s="28" t="b">
        <v>0</v>
      </c>
      <c r="M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9">
        <f>IFERROR(__xludf.DUMMYFUNCTION("""COMPUTED_VALUE"""),0.0)</f>
        <v>0</v>
      </c>
      <c r="K91" s="29">
        <f>IFERROR(__xludf.DUMMYFUNCTION("""COMPUTED_VALUE"""),0.0)</f>
        <v>0</v>
      </c>
      <c r="L91" s="28" t="b">
        <v>0</v>
      </c>
      <c r="M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9">
        <f>IFERROR(__xludf.DUMMYFUNCTION("""COMPUTED_VALUE"""),0.0)</f>
        <v>0</v>
      </c>
      <c r="K92" s="29">
        <f>IFERROR(__xludf.DUMMYFUNCTION("""COMPUTED_VALUE"""),0.0)</f>
        <v>0</v>
      </c>
      <c r="L92" s="28" t="b">
        <v>0</v>
      </c>
      <c r="M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9">
        <f>IFERROR(__xludf.DUMMYFUNCTION("""COMPUTED_VALUE"""),0.0)</f>
        <v>0</v>
      </c>
      <c r="K93" s="29">
        <f>IFERROR(__xludf.DUMMYFUNCTION("""COMPUTED_VALUE"""),0.0)</f>
        <v>0</v>
      </c>
      <c r="L93" s="28" t="b">
        <v>0</v>
      </c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9">
        <f>IFERROR(__xludf.DUMMYFUNCTION("""COMPUTED_VALUE"""),0.0)</f>
        <v>0</v>
      </c>
      <c r="K94" s="29">
        <f>IFERROR(__xludf.DUMMYFUNCTION("""COMPUTED_VALUE"""),0.0)</f>
        <v>0</v>
      </c>
      <c r="L94" s="28" t="b">
        <v>0</v>
      </c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9">
        <f>IFERROR(__xludf.DUMMYFUNCTION("""COMPUTED_VALUE"""),0.0)</f>
        <v>0</v>
      </c>
      <c r="K95" s="29">
        <f>IFERROR(__xludf.DUMMYFUNCTION("""COMPUTED_VALUE"""),0.0)</f>
        <v>0</v>
      </c>
      <c r="L95" s="28" t="b">
        <v>0</v>
      </c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9">
        <f>IFERROR(__xludf.DUMMYFUNCTION("""COMPUTED_VALUE"""),0.0)</f>
        <v>0</v>
      </c>
      <c r="K96" s="29">
        <f>IFERROR(__xludf.DUMMYFUNCTION("""COMPUTED_VALUE"""),0.0)</f>
        <v>0</v>
      </c>
      <c r="L96" s="28" t="b">
        <v>0</v>
      </c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9">
        <f>IFERROR(__xludf.DUMMYFUNCTION("""COMPUTED_VALUE"""),0.0)</f>
        <v>0</v>
      </c>
      <c r="K97" s="29">
        <f>IFERROR(__xludf.DUMMYFUNCTION("""COMPUTED_VALUE"""),0.0)</f>
        <v>0</v>
      </c>
      <c r="L97" s="28" t="b">
        <v>0</v>
      </c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9">
        <f>IFERROR(__xludf.DUMMYFUNCTION("""COMPUTED_VALUE"""),0.0)</f>
        <v>0</v>
      </c>
      <c r="K98" s="29">
        <f>IFERROR(__xludf.DUMMYFUNCTION("""COMPUTED_VALUE"""),0.0)</f>
        <v>0</v>
      </c>
      <c r="L98" s="28" t="b">
        <v>0</v>
      </c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9">
        <f>IFERROR(__xludf.DUMMYFUNCTION("""COMPUTED_VALUE"""),0.0)</f>
        <v>0</v>
      </c>
      <c r="K99" s="29">
        <f>IFERROR(__xludf.DUMMYFUNCTION("""COMPUTED_VALUE"""),0.0)</f>
        <v>0</v>
      </c>
      <c r="L99" s="28" t="b">
        <v>0</v>
      </c>
      <c r="M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9">
        <f>IFERROR(__xludf.DUMMYFUNCTION("""COMPUTED_VALUE"""),0.0)</f>
        <v>0</v>
      </c>
      <c r="K100" s="29">
        <f>IFERROR(__xludf.DUMMYFUNCTION("""COMPUTED_VALUE"""),0.0)</f>
        <v>0</v>
      </c>
      <c r="L100" s="28" t="b">
        <v>0</v>
      </c>
      <c r="M100" s="28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5">
        <f>IFERROR(__xludf.DUMMYFUNCTION("""COMPUTED_VALUE"""),0.0)</f>
        <v>0</v>
      </c>
      <c r="K101" s="15">
        <f>IFERROR(__xludf.DUMMYFUNCTION("""COMPUTED_VALUE"""),0.0)</f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5">
        <f>IFERROR(__xludf.DUMMYFUNCTION("""COMPUTED_VALUE"""),0.0)</f>
        <v>0</v>
      </c>
      <c r="K102" s="15">
        <f>IFERROR(__xludf.DUMMYFUNCTION("""COMPUTED_VALUE"""),0.0)</f>
        <v>0</v>
      </c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5">
        <f>IFERROR(__xludf.DUMMYFUNCTION("""COMPUTED_VALUE"""),0.0)</f>
        <v>0</v>
      </c>
      <c r="K103" s="15">
        <f>IFERROR(__xludf.DUMMYFUNCTION("""COMPUTED_VALUE"""),0.0)</f>
        <v>0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5">
        <f>IFERROR(__xludf.DUMMYFUNCTION("""COMPUTED_VALUE"""),0.0)</f>
        <v>0</v>
      </c>
      <c r="K104" s="15">
        <f>IFERROR(__xludf.DUMMYFUNCTION("""COMPUTED_VALUE"""),0.0)</f>
        <v>0</v>
      </c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5">
        <f>IFERROR(__xludf.DUMMYFUNCTION("""COMPUTED_VALUE"""),0.0)</f>
        <v>0</v>
      </c>
      <c r="K105" s="15">
        <f>IFERROR(__xludf.DUMMYFUNCTION("""COMPUTED_VALUE"""),0.0)</f>
        <v>0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5">
        <f>IFERROR(__xludf.DUMMYFUNCTION("""COMPUTED_VALUE"""),0.0)</f>
        <v>0</v>
      </c>
      <c r="K106" s="15">
        <f>IFERROR(__xludf.DUMMYFUNCTION("""COMPUTED_VALUE"""),0.0)</f>
        <v>0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5">
        <f>IFERROR(__xludf.DUMMYFUNCTION("""COMPUTED_VALUE"""),0.0)</f>
        <v>0</v>
      </c>
      <c r="K107" s="15">
        <f>IFERROR(__xludf.DUMMYFUNCTION("""COMPUTED_VALUE"""),0.0)</f>
        <v>0</v>
      </c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5">
        <f>IFERROR(__xludf.DUMMYFUNCTION("""COMPUTED_VALUE"""),0.0)</f>
        <v>0</v>
      </c>
      <c r="K108" s="15">
        <f>IFERROR(__xludf.DUMMYFUNCTION("""COMPUTED_VALUE"""),0.0)</f>
        <v>0</v>
      </c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5">
        <f>IFERROR(__xludf.DUMMYFUNCTION("""COMPUTED_VALUE"""),0.0)</f>
        <v>0</v>
      </c>
      <c r="K109" s="15">
        <f>IFERROR(__xludf.DUMMYFUNCTION("""COMPUTED_VALUE"""),0.0)</f>
        <v>0</v>
      </c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5">
        <f>IFERROR(__xludf.DUMMYFUNCTION("""COMPUTED_VALUE"""),0.0)</f>
        <v>0</v>
      </c>
      <c r="K110" s="15">
        <f>IFERROR(__xludf.DUMMYFUNCTION("""COMPUTED_VALUE"""),0.0)</f>
        <v>0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5">
        <f>IFERROR(__xludf.DUMMYFUNCTION("""COMPUTED_VALUE"""),0.0)</f>
        <v>0</v>
      </c>
      <c r="K111" s="15">
        <f>IFERROR(__xludf.DUMMYFUNCTION("""COMPUTED_VALUE"""),0.0)</f>
        <v>0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5">
        <f>IFERROR(__xludf.DUMMYFUNCTION("""COMPUTED_VALUE"""),0.0)</f>
        <v>0</v>
      </c>
      <c r="K112" s="15">
        <f>IFERROR(__xludf.DUMMYFUNCTION("""COMPUTED_VALUE"""),0.0)</f>
        <v>0</v>
      </c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5">
        <f>IFERROR(__xludf.DUMMYFUNCTION("""COMPUTED_VALUE"""),0.0)</f>
        <v>0</v>
      </c>
      <c r="K113" s="15">
        <f>IFERROR(__xludf.DUMMYFUNCTION("""COMPUTED_VALUE"""),0.0)</f>
        <v>0</v>
      </c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5">
        <f>IFERROR(__xludf.DUMMYFUNCTION("""COMPUTED_VALUE"""),0.0)</f>
        <v>0</v>
      </c>
      <c r="K114" s="15">
        <f>IFERROR(__xludf.DUMMYFUNCTION("""COMPUTED_VALUE"""),0.0)</f>
        <v>0</v>
      </c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5">
        <f>IFERROR(__xludf.DUMMYFUNCTION("""COMPUTED_VALUE"""),0.0)</f>
        <v>0</v>
      </c>
      <c r="K115" s="15">
        <f>IFERROR(__xludf.DUMMYFUNCTION("""COMPUTED_VALUE"""),0.0)</f>
        <v>0</v>
      </c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5">
        <f>IFERROR(__xludf.DUMMYFUNCTION("""COMPUTED_VALUE"""),0.0)</f>
        <v>0</v>
      </c>
      <c r="K116" s="15">
        <f>IFERROR(__xludf.DUMMYFUNCTION("""COMPUTED_VALUE"""),0.0)</f>
        <v>0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5">
        <f>IFERROR(__xludf.DUMMYFUNCTION("""COMPUTED_VALUE"""),0.0)</f>
        <v>0</v>
      </c>
      <c r="K117" s="15">
        <f>IFERROR(__xludf.DUMMYFUNCTION("""COMPUTED_VALUE"""),0.0)</f>
        <v>0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5">
        <f>IFERROR(__xludf.DUMMYFUNCTION("""COMPUTED_VALUE"""),0.0)</f>
        <v>0</v>
      </c>
      <c r="K118" s="15">
        <f>IFERROR(__xludf.DUMMYFUNCTION("""COMPUTED_VALUE"""),0.0)</f>
        <v>0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5">
        <f>IFERROR(__xludf.DUMMYFUNCTION("""COMPUTED_VALUE"""),0.0)</f>
        <v>0</v>
      </c>
      <c r="K119" s="15">
        <f>IFERROR(__xludf.DUMMYFUNCTION("""COMPUTED_VALUE"""),0.0)</f>
        <v>0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5">
        <f>IFERROR(__xludf.DUMMYFUNCTION("""COMPUTED_VALUE"""),0.0)</f>
        <v>0</v>
      </c>
      <c r="K120" s="15">
        <f>IFERROR(__xludf.DUMMYFUNCTION("""COMPUTED_VALUE"""),0.0)</f>
        <v>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5">
        <f>IFERROR(__xludf.DUMMYFUNCTION("""COMPUTED_VALUE"""),0.0)</f>
        <v>0</v>
      </c>
      <c r="K121" s="15">
        <f>IFERROR(__xludf.DUMMYFUNCTION("""COMPUTED_VALUE"""),0.0)</f>
        <v>0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5">
        <f>IFERROR(__xludf.DUMMYFUNCTION("""COMPUTED_VALUE"""),0.0)</f>
        <v>0</v>
      </c>
      <c r="K122" s="15">
        <f>IFERROR(__xludf.DUMMYFUNCTION("""COMPUTED_VALUE"""),0.0)</f>
        <v>0</v>
      </c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5">
        <f>IFERROR(__xludf.DUMMYFUNCTION("""COMPUTED_VALUE"""),0.0)</f>
        <v>0</v>
      </c>
      <c r="K123" s="15">
        <f>IFERROR(__xludf.DUMMYFUNCTION("""COMPUTED_VALUE"""),0.0)</f>
        <v>0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5">
        <f>IFERROR(__xludf.DUMMYFUNCTION("""COMPUTED_VALUE"""),0.0)</f>
        <v>0</v>
      </c>
      <c r="K124" s="15">
        <f>IFERROR(__xludf.DUMMYFUNCTION("""COMPUTED_VALUE"""),0.0)</f>
        <v>0</v>
      </c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5">
        <f>IFERROR(__xludf.DUMMYFUNCTION("""COMPUTED_VALUE"""),0.0)</f>
        <v>0</v>
      </c>
      <c r="K125" s="15">
        <f>IFERROR(__xludf.DUMMYFUNCTION("""COMPUTED_VALUE"""),0.0)</f>
        <v>0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5">
        <f>IFERROR(__xludf.DUMMYFUNCTION("""COMPUTED_VALUE"""),0.0)</f>
        <v>0</v>
      </c>
      <c r="K126" s="15">
        <f>IFERROR(__xludf.DUMMYFUNCTION("""COMPUTED_VALUE"""),0.0)</f>
        <v>0</v>
      </c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5">
        <f>IFERROR(__xludf.DUMMYFUNCTION("""COMPUTED_VALUE"""),0.0)</f>
        <v>0</v>
      </c>
      <c r="K127" s="15">
        <f>IFERROR(__xludf.DUMMYFUNCTION("""COMPUTED_VALUE"""),0.0)</f>
        <v>0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5">
        <f>IFERROR(__xludf.DUMMYFUNCTION("""COMPUTED_VALUE"""),0.0)</f>
        <v>0</v>
      </c>
      <c r="K128" s="15">
        <f>IFERROR(__xludf.DUMMYFUNCTION("""COMPUTED_VALUE"""),0.0)</f>
        <v>0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5">
        <f>IFERROR(__xludf.DUMMYFUNCTION("""COMPUTED_VALUE"""),0.0)</f>
        <v>0</v>
      </c>
      <c r="K129" s="15">
        <f>IFERROR(__xludf.DUMMYFUNCTION("""COMPUTED_VALUE"""),0.0)</f>
        <v>0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5">
        <f>IFERROR(__xludf.DUMMYFUNCTION("""COMPUTED_VALUE"""),0.0)</f>
        <v>0</v>
      </c>
      <c r="K130" s="15">
        <f>IFERROR(__xludf.DUMMYFUNCTION("""COMPUTED_VALUE"""),0.0)</f>
        <v>0</v>
      </c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5">
        <f>IFERROR(__xludf.DUMMYFUNCTION("""COMPUTED_VALUE"""),0.0)</f>
        <v>0</v>
      </c>
      <c r="K131" s="15">
        <f>IFERROR(__xludf.DUMMYFUNCTION("""COMPUTED_VALUE"""),0.0)</f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5">
        <f>IFERROR(__xludf.DUMMYFUNCTION("""COMPUTED_VALUE"""),0.0)</f>
        <v>0</v>
      </c>
      <c r="K132" s="15">
        <f>IFERROR(__xludf.DUMMYFUNCTION("""COMPUTED_VALUE"""),0.0)</f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5">
        <f>IFERROR(__xludf.DUMMYFUNCTION("""COMPUTED_VALUE"""),0.0)</f>
        <v>0</v>
      </c>
      <c r="K133" s="15">
        <f>IFERROR(__xludf.DUMMYFUNCTION("""COMPUTED_VALUE"""),0.0)</f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5">
        <f>IFERROR(__xludf.DUMMYFUNCTION("""COMPUTED_VALUE"""),0.0)</f>
        <v>0</v>
      </c>
      <c r="K134" s="15">
        <f>IFERROR(__xludf.DUMMYFUNCTION("""COMPUTED_VALUE"""),0.0)</f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5">
        <f>IFERROR(__xludf.DUMMYFUNCTION("""COMPUTED_VALUE"""),0.0)</f>
        <v>0</v>
      </c>
      <c r="K135" s="15">
        <f>IFERROR(__xludf.DUMMYFUNCTION("""COMPUTED_VALUE"""),0.0)</f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5">
        <f>IFERROR(__xludf.DUMMYFUNCTION("""COMPUTED_VALUE"""),0.0)</f>
        <v>0</v>
      </c>
      <c r="K136" s="15">
        <f>IFERROR(__xludf.DUMMYFUNCTION("""COMPUTED_VALUE"""),0.0)</f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5">
        <f>IFERROR(__xludf.DUMMYFUNCTION("""COMPUTED_VALUE"""),0.0)</f>
        <v>0</v>
      </c>
      <c r="K137" s="15">
        <f>IFERROR(__xludf.DUMMYFUNCTION("""COMPUTED_VALUE"""),0.0)</f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5">
        <f>IFERROR(__xludf.DUMMYFUNCTION("""COMPUTED_VALUE"""),0.0)</f>
        <v>0</v>
      </c>
      <c r="K138" s="15">
        <f>IFERROR(__xludf.DUMMYFUNCTION("""COMPUTED_VALUE"""),0.0)</f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5">
        <f>IFERROR(__xludf.DUMMYFUNCTION("""COMPUTED_VALUE"""),0.0)</f>
        <v>0</v>
      </c>
      <c r="K139" s="15">
        <f>IFERROR(__xludf.DUMMYFUNCTION("""COMPUTED_VALUE"""),0.0)</f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5">
        <f>IFERROR(__xludf.DUMMYFUNCTION("""COMPUTED_VALUE"""),0.0)</f>
        <v>0</v>
      </c>
      <c r="K140" s="15">
        <f>IFERROR(__xludf.DUMMYFUNCTION("""COMPUTED_VALUE"""),0.0)</f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5">
        <f>IFERROR(__xludf.DUMMYFUNCTION("""COMPUTED_VALUE"""),0.0)</f>
        <v>0</v>
      </c>
      <c r="K141" s="15">
        <f>IFERROR(__xludf.DUMMYFUNCTION("""COMPUTED_VALUE"""),0.0)</f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5">
        <f>IFERROR(__xludf.DUMMYFUNCTION("""COMPUTED_VALUE"""),0.0)</f>
        <v>0</v>
      </c>
      <c r="K142" s="15">
        <f>IFERROR(__xludf.DUMMYFUNCTION("""COMPUTED_VALUE"""),0.0)</f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5">
        <f>IFERROR(__xludf.DUMMYFUNCTION("""COMPUTED_VALUE"""),0.0)</f>
        <v>0</v>
      </c>
      <c r="K143" s="15">
        <f>IFERROR(__xludf.DUMMYFUNCTION("""COMPUTED_VALUE"""),0.0)</f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5">
        <f>IFERROR(__xludf.DUMMYFUNCTION("""COMPUTED_VALUE"""),0.0)</f>
        <v>0</v>
      </c>
      <c r="K144" s="15">
        <f>IFERROR(__xludf.DUMMYFUNCTION("""COMPUTED_VALUE"""),0.0)</f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5">
        <f>IFERROR(__xludf.DUMMYFUNCTION("""COMPUTED_VALUE"""),0.0)</f>
        <v>0</v>
      </c>
      <c r="K145" s="15">
        <f>IFERROR(__xludf.DUMMYFUNCTION("""COMPUTED_VALUE"""),0.0)</f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5">
        <f>IFERROR(__xludf.DUMMYFUNCTION("""COMPUTED_VALUE"""),0.0)</f>
        <v>0</v>
      </c>
      <c r="K146" s="15">
        <f>IFERROR(__xludf.DUMMYFUNCTION("""COMPUTED_VALUE"""),0.0)</f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5">
        <f>IFERROR(__xludf.DUMMYFUNCTION("""COMPUTED_VALUE"""),0.0)</f>
        <v>0</v>
      </c>
      <c r="K147" s="15">
        <f>IFERROR(__xludf.DUMMYFUNCTION("""COMPUTED_VALUE"""),0.0)</f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5">
        <f>IFERROR(__xludf.DUMMYFUNCTION("""COMPUTED_VALUE"""),0.0)</f>
        <v>0</v>
      </c>
      <c r="K148" s="15">
        <f>IFERROR(__xludf.DUMMYFUNCTION("""COMPUTED_VALUE"""),0.0)</f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5">
        <f>IFERROR(__xludf.DUMMYFUNCTION("""COMPUTED_VALUE"""),0.0)</f>
        <v>0</v>
      </c>
      <c r="K149" s="15">
        <f>IFERROR(__xludf.DUMMYFUNCTION("""COMPUTED_VALUE"""),0.0)</f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5">
        <f>IFERROR(__xludf.DUMMYFUNCTION("""COMPUTED_VALUE"""),0.0)</f>
        <v>0</v>
      </c>
      <c r="K150" s="15">
        <f>IFERROR(__xludf.DUMMYFUNCTION("""COMPUTED_VALUE"""),0.0)</f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5">
        <f>IFERROR(__xludf.DUMMYFUNCTION("""COMPUTED_VALUE"""),0.0)</f>
        <v>0</v>
      </c>
      <c r="K151" s="15">
        <f>IFERROR(__xludf.DUMMYFUNCTION("""COMPUTED_VALUE"""),0.0)</f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5">
        <f>IFERROR(__xludf.DUMMYFUNCTION("""COMPUTED_VALUE"""),0.0)</f>
        <v>0</v>
      </c>
      <c r="K152" s="15">
        <f>IFERROR(__xludf.DUMMYFUNCTION("""COMPUTED_VALUE"""),0.0)</f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5">
        <f>IFERROR(__xludf.DUMMYFUNCTION("""COMPUTED_VALUE"""),0.0)</f>
        <v>0</v>
      </c>
      <c r="K153" s="15">
        <f>IFERROR(__xludf.DUMMYFUNCTION("""COMPUTED_VALUE"""),0.0)</f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5">
        <f>IFERROR(__xludf.DUMMYFUNCTION("""COMPUTED_VALUE"""),0.0)</f>
        <v>0</v>
      </c>
      <c r="K154" s="15">
        <f>IFERROR(__xludf.DUMMYFUNCTION("""COMPUTED_VALUE"""),0.0)</f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5">
        <f>IFERROR(__xludf.DUMMYFUNCTION("""COMPUTED_VALUE"""),0.0)</f>
        <v>0</v>
      </c>
      <c r="K155" s="15">
        <f>IFERROR(__xludf.DUMMYFUNCTION("""COMPUTED_VALUE"""),0.0)</f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5">
        <f>IFERROR(__xludf.DUMMYFUNCTION("""COMPUTED_VALUE"""),0.0)</f>
        <v>0</v>
      </c>
      <c r="K156" s="15">
        <f>IFERROR(__xludf.DUMMYFUNCTION("""COMPUTED_VALUE"""),0.0)</f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5">
        <f>IFERROR(__xludf.DUMMYFUNCTION("""COMPUTED_VALUE"""),0.0)</f>
        <v>0</v>
      </c>
      <c r="K157" s="15">
        <f>IFERROR(__xludf.DUMMYFUNCTION("""COMPUTED_VALUE"""),0.0)</f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5">
        <f>IFERROR(__xludf.DUMMYFUNCTION("""COMPUTED_VALUE"""),0.0)</f>
        <v>0</v>
      </c>
      <c r="K158" s="15">
        <f>IFERROR(__xludf.DUMMYFUNCTION("""COMPUTED_VALUE"""),0.0)</f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5">
        <f>IFERROR(__xludf.DUMMYFUNCTION("""COMPUTED_VALUE"""),0.0)</f>
        <v>0</v>
      </c>
      <c r="K159" s="15">
        <f>IFERROR(__xludf.DUMMYFUNCTION("""COMPUTED_VALUE"""),0.0)</f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5">
        <f>IFERROR(__xludf.DUMMYFUNCTION("""COMPUTED_VALUE"""),0.0)</f>
        <v>0</v>
      </c>
      <c r="K160" s="15">
        <f>IFERROR(__xludf.DUMMYFUNCTION("""COMPUTED_VALUE"""),0.0)</f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5">
        <f>IFERROR(__xludf.DUMMYFUNCTION("""COMPUTED_VALUE"""),0.0)</f>
        <v>0</v>
      </c>
      <c r="K161" s="15">
        <f>IFERROR(__xludf.DUMMYFUNCTION("""COMPUTED_VALUE"""),0.0)</f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5">
        <f>IFERROR(__xludf.DUMMYFUNCTION("""COMPUTED_VALUE"""),0.0)</f>
        <v>0</v>
      </c>
      <c r="K162" s="15">
        <f>IFERROR(__xludf.DUMMYFUNCTION("""COMPUTED_VALUE"""),0.0)</f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5">
        <f>IFERROR(__xludf.DUMMYFUNCTION("""COMPUTED_VALUE"""),0.0)</f>
        <v>0</v>
      </c>
      <c r="K163" s="15">
        <f>IFERROR(__xludf.DUMMYFUNCTION("""COMPUTED_VALUE"""),0.0)</f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5">
        <f>IFERROR(__xludf.DUMMYFUNCTION("""COMPUTED_VALUE"""),0.0)</f>
        <v>0</v>
      </c>
      <c r="K164" s="15">
        <f>IFERROR(__xludf.DUMMYFUNCTION("""COMPUTED_VALUE"""),0.0)</f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5">
        <f>IFERROR(__xludf.DUMMYFUNCTION("""COMPUTED_VALUE"""),0.0)</f>
        <v>0</v>
      </c>
      <c r="K165" s="15">
        <f>IFERROR(__xludf.DUMMYFUNCTION("""COMPUTED_VALUE"""),0.0)</f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5">
        <f>IFERROR(__xludf.DUMMYFUNCTION("""COMPUTED_VALUE"""),0.0)</f>
        <v>0</v>
      </c>
      <c r="K166" s="15">
        <f>IFERROR(__xludf.DUMMYFUNCTION("""COMPUTED_VALUE"""),0.0)</f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5">
        <f>IFERROR(__xludf.DUMMYFUNCTION("""COMPUTED_VALUE"""),0.0)</f>
        <v>0</v>
      </c>
      <c r="K167" s="15">
        <f>IFERROR(__xludf.DUMMYFUNCTION("""COMPUTED_VALUE"""),0.0)</f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5">
        <f>IFERROR(__xludf.DUMMYFUNCTION("""COMPUTED_VALUE"""),0.0)</f>
        <v>0</v>
      </c>
      <c r="K168" s="15">
        <f>IFERROR(__xludf.DUMMYFUNCTION("""COMPUTED_VALUE"""),0.0)</f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5">
        <f>IFERROR(__xludf.DUMMYFUNCTION("""COMPUTED_VALUE"""),0.0)</f>
        <v>0</v>
      </c>
      <c r="K169" s="15">
        <f>IFERROR(__xludf.DUMMYFUNCTION("""COMPUTED_VALUE"""),0.0)</f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5">
        <f>IFERROR(__xludf.DUMMYFUNCTION("""COMPUTED_VALUE"""),0.0)</f>
        <v>0</v>
      </c>
      <c r="K170" s="15">
        <f>IFERROR(__xludf.DUMMYFUNCTION("""COMPUTED_VALUE"""),0.0)</f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5">
        <f>IFERROR(__xludf.DUMMYFUNCTION("""COMPUTED_VALUE"""),0.0)</f>
        <v>0</v>
      </c>
      <c r="K171" s="15">
        <f>IFERROR(__xludf.DUMMYFUNCTION("""COMPUTED_VALUE"""),0.0)</f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5">
        <f>IFERROR(__xludf.DUMMYFUNCTION("""COMPUTED_VALUE"""),0.0)</f>
        <v>0</v>
      </c>
      <c r="K172" s="15">
        <f>IFERROR(__xludf.DUMMYFUNCTION("""COMPUTED_VALUE"""),0.0)</f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5">
        <f>IFERROR(__xludf.DUMMYFUNCTION("""COMPUTED_VALUE"""),0.0)</f>
        <v>0</v>
      </c>
      <c r="K173" s="15">
        <f>IFERROR(__xludf.DUMMYFUNCTION("""COMPUTED_VALUE"""),0.0)</f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5">
        <f>IFERROR(__xludf.DUMMYFUNCTION("""COMPUTED_VALUE"""),0.0)</f>
        <v>0</v>
      </c>
      <c r="K174" s="15">
        <f>IFERROR(__xludf.DUMMYFUNCTION("""COMPUTED_VALUE"""),0.0)</f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5">
        <f>IFERROR(__xludf.DUMMYFUNCTION("""COMPUTED_VALUE"""),0.0)</f>
        <v>0</v>
      </c>
      <c r="K175" s="15">
        <f>IFERROR(__xludf.DUMMYFUNCTION("""COMPUTED_VALUE"""),0.0)</f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5">
        <f>IFERROR(__xludf.DUMMYFUNCTION("""COMPUTED_VALUE"""),0.0)</f>
        <v>0</v>
      </c>
      <c r="K176" s="15">
        <f>IFERROR(__xludf.DUMMYFUNCTION("""COMPUTED_VALUE"""),0.0)</f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5">
        <f>IFERROR(__xludf.DUMMYFUNCTION("""COMPUTED_VALUE"""),0.0)</f>
        <v>0</v>
      </c>
      <c r="K177" s="15">
        <f>IFERROR(__xludf.DUMMYFUNCTION("""COMPUTED_VALUE"""),0.0)</f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5">
        <f>IFERROR(__xludf.DUMMYFUNCTION("""COMPUTED_VALUE"""),0.0)</f>
        <v>0</v>
      </c>
      <c r="K178" s="15">
        <f>IFERROR(__xludf.DUMMYFUNCTION("""COMPUTED_VALUE"""),0.0)</f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5">
        <f>IFERROR(__xludf.DUMMYFUNCTION("""COMPUTED_VALUE"""),0.0)</f>
        <v>0</v>
      </c>
      <c r="K179" s="15">
        <f>IFERROR(__xludf.DUMMYFUNCTION("""COMPUTED_VALUE"""),0.0)</f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5">
        <f>IFERROR(__xludf.DUMMYFUNCTION("""COMPUTED_VALUE"""),0.0)</f>
        <v>0</v>
      </c>
      <c r="K180" s="15">
        <f>IFERROR(__xludf.DUMMYFUNCTION("""COMPUTED_VALUE"""),0.0)</f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5">
        <f>IFERROR(__xludf.DUMMYFUNCTION("""COMPUTED_VALUE"""),0.0)</f>
        <v>0</v>
      </c>
      <c r="K181" s="15">
        <f>IFERROR(__xludf.DUMMYFUNCTION("""COMPUTED_VALUE"""),0.0)</f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5">
        <f>IFERROR(__xludf.DUMMYFUNCTION("""COMPUTED_VALUE"""),0.0)</f>
        <v>0</v>
      </c>
      <c r="K182" s="15">
        <f>IFERROR(__xludf.DUMMYFUNCTION("""COMPUTED_VALUE"""),0.0)</f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5">
        <f>IFERROR(__xludf.DUMMYFUNCTION("""COMPUTED_VALUE"""),0.0)</f>
        <v>0</v>
      </c>
      <c r="K183" s="15">
        <f>IFERROR(__xludf.DUMMYFUNCTION("""COMPUTED_VALUE"""),0.0)</f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5">
        <f>IFERROR(__xludf.DUMMYFUNCTION("""COMPUTED_VALUE"""),0.0)</f>
        <v>0</v>
      </c>
      <c r="K184" s="15">
        <f>IFERROR(__xludf.DUMMYFUNCTION("""COMPUTED_VALUE"""),0.0)</f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5">
        <f>IFERROR(__xludf.DUMMYFUNCTION("""COMPUTED_VALUE"""),0.0)</f>
        <v>0</v>
      </c>
      <c r="K185" s="15">
        <f>IFERROR(__xludf.DUMMYFUNCTION("""COMPUTED_VALUE"""),0.0)</f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5">
        <f>IFERROR(__xludf.DUMMYFUNCTION("""COMPUTED_VALUE"""),0.0)</f>
        <v>0</v>
      </c>
      <c r="K186" s="15">
        <f>IFERROR(__xludf.DUMMYFUNCTION("""COMPUTED_VALUE"""),0.0)</f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5">
        <f>IFERROR(__xludf.DUMMYFUNCTION("""COMPUTED_VALUE"""),0.0)</f>
        <v>0</v>
      </c>
      <c r="K187" s="15">
        <f>IFERROR(__xludf.DUMMYFUNCTION("""COMPUTED_VALUE"""),0.0)</f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5">
        <f>IFERROR(__xludf.DUMMYFUNCTION("""COMPUTED_VALUE"""),0.0)</f>
        <v>0</v>
      </c>
      <c r="K188" s="15">
        <f>IFERROR(__xludf.DUMMYFUNCTION("""COMPUTED_VALUE"""),0.0)</f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5">
        <f>IFERROR(__xludf.DUMMYFUNCTION("""COMPUTED_VALUE"""),0.0)</f>
        <v>0</v>
      </c>
      <c r="K189" s="15">
        <f>IFERROR(__xludf.DUMMYFUNCTION("""COMPUTED_VALUE"""),0.0)</f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5">
        <f>IFERROR(__xludf.DUMMYFUNCTION("""COMPUTED_VALUE"""),0.0)</f>
        <v>0</v>
      </c>
      <c r="K190" s="15">
        <f>IFERROR(__xludf.DUMMYFUNCTION("""COMPUTED_VALUE"""),0.0)</f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5">
        <f>IFERROR(__xludf.DUMMYFUNCTION("""COMPUTED_VALUE"""),0.0)</f>
        <v>0</v>
      </c>
      <c r="K191" s="15">
        <f>IFERROR(__xludf.DUMMYFUNCTION("""COMPUTED_VALUE"""),0.0)</f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5">
        <f>IFERROR(__xludf.DUMMYFUNCTION("""COMPUTED_VALUE"""),0.0)</f>
        <v>0</v>
      </c>
      <c r="K192" s="15">
        <f>IFERROR(__xludf.DUMMYFUNCTION("""COMPUTED_VALUE"""),0.0)</f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5">
        <f>IFERROR(__xludf.DUMMYFUNCTION("""COMPUTED_VALUE"""),0.0)</f>
        <v>0</v>
      </c>
      <c r="K193" s="15">
        <f>IFERROR(__xludf.DUMMYFUNCTION("""COMPUTED_VALUE"""),0.0)</f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5">
        <f>IFERROR(__xludf.DUMMYFUNCTION("""COMPUTED_VALUE"""),0.0)</f>
        <v>0</v>
      </c>
      <c r="K194" s="15">
        <f>IFERROR(__xludf.DUMMYFUNCTION("""COMPUTED_VALUE"""),0.0)</f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5">
        <f>IFERROR(__xludf.DUMMYFUNCTION("""COMPUTED_VALUE"""),0.0)</f>
        <v>0</v>
      </c>
      <c r="K195" s="15">
        <f>IFERROR(__xludf.DUMMYFUNCTION("""COMPUTED_VALUE"""),0.0)</f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5">
        <f>IFERROR(__xludf.DUMMYFUNCTION("""COMPUTED_VALUE"""),0.0)</f>
        <v>0</v>
      </c>
      <c r="K196" s="15">
        <f>IFERROR(__xludf.DUMMYFUNCTION("""COMPUTED_VALUE"""),0.0)</f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5">
        <f>IFERROR(__xludf.DUMMYFUNCTION("""COMPUTED_VALUE"""),0.0)</f>
        <v>0</v>
      </c>
      <c r="K197" s="15">
        <f>IFERROR(__xludf.DUMMYFUNCTION("""COMPUTED_VALUE"""),0.0)</f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5">
        <f>IFERROR(__xludf.DUMMYFUNCTION("""COMPUTED_VALUE"""),0.0)</f>
        <v>0</v>
      </c>
      <c r="K198" s="15">
        <f>IFERROR(__xludf.DUMMYFUNCTION("""COMPUTED_VALUE"""),0.0)</f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5">
        <f>IFERROR(__xludf.DUMMYFUNCTION("""COMPUTED_VALUE"""),0.0)</f>
        <v>0</v>
      </c>
      <c r="K199" s="15">
        <f>IFERROR(__xludf.DUMMYFUNCTION("""COMPUTED_VALUE"""),0.0)</f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5">
        <f>IFERROR(__xludf.DUMMYFUNCTION("""COMPUTED_VALUE"""),0.0)</f>
        <v>0</v>
      </c>
      <c r="K200" s="15">
        <f>IFERROR(__xludf.DUMMYFUNCTION("""COMPUTED_VALUE"""),0.0)</f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5">
        <f>IFERROR(__xludf.DUMMYFUNCTION("""COMPUTED_VALUE"""),0.0)</f>
        <v>0</v>
      </c>
      <c r="K201" s="15">
        <f>IFERROR(__xludf.DUMMYFUNCTION("""COMPUTED_VALUE"""),0.0)</f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5">
        <f>IFERROR(__xludf.DUMMYFUNCTION("""COMPUTED_VALUE"""),0.0)</f>
        <v>0</v>
      </c>
      <c r="K202" s="15">
        <f>IFERROR(__xludf.DUMMYFUNCTION("""COMPUTED_VALUE"""),0.0)</f>
        <v>0</v>
      </c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5">
        <f>IFERROR(__xludf.DUMMYFUNCTION("""COMPUTED_VALUE"""),0.0)</f>
        <v>0</v>
      </c>
      <c r="K203" s="15">
        <f>IFERROR(__xludf.DUMMYFUNCTION("""COMPUTED_VALUE"""),0.0)</f>
        <v>0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5">
        <f>IFERROR(__xludf.DUMMYFUNCTION("""COMPUTED_VALUE"""),0.0)</f>
        <v>0</v>
      </c>
      <c r="K204" s="15">
        <f>IFERROR(__xludf.DUMMYFUNCTION("""COMPUTED_VALUE"""),0.0)</f>
        <v>0</v>
      </c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5">
        <f>IFERROR(__xludf.DUMMYFUNCTION("""COMPUTED_VALUE"""),0.0)</f>
        <v>0</v>
      </c>
      <c r="K205" s="15">
        <f>IFERROR(__xludf.DUMMYFUNCTION("""COMPUTED_VALUE"""),0.0)</f>
        <v>0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5">
        <f>IFERROR(__xludf.DUMMYFUNCTION("""COMPUTED_VALUE"""),0.0)</f>
        <v>0</v>
      </c>
      <c r="K206" s="15">
        <f>IFERROR(__xludf.DUMMYFUNCTION("""COMPUTED_VALUE"""),0.0)</f>
        <v>0</v>
      </c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5">
        <f>IFERROR(__xludf.DUMMYFUNCTION("""COMPUTED_VALUE"""),0.0)</f>
        <v>0</v>
      </c>
      <c r="K207" s="15">
        <f>IFERROR(__xludf.DUMMYFUNCTION("""COMPUTED_VALUE"""),0.0)</f>
        <v>0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5">
        <f>IFERROR(__xludf.DUMMYFUNCTION("""COMPUTED_VALUE"""),0.0)</f>
        <v>0</v>
      </c>
      <c r="K208" s="15">
        <f>IFERROR(__xludf.DUMMYFUNCTION("""COMPUTED_VALUE"""),0.0)</f>
        <v>0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5">
        <f>IFERROR(__xludf.DUMMYFUNCTION("""COMPUTED_VALUE"""),0.0)</f>
        <v>0</v>
      </c>
      <c r="K209" s="15">
        <f>IFERROR(__xludf.DUMMYFUNCTION("""COMPUTED_VALUE"""),0.0)</f>
        <v>0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5">
        <f>IFERROR(__xludf.DUMMYFUNCTION("""COMPUTED_VALUE"""),0.0)</f>
        <v>0</v>
      </c>
      <c r="K210" s="15">
        <f>IFERROR(__xludf.DUMMYFUNCTION("""COMPUTED_VALUE"""),0.0)</f>
        <v>0</v>
      </c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5">
        <f>IFERROR(__xludf.DUMMYFUNCTION("""COMPUTED_VALUE"""),0.0)</f>
        <v>0</v>
      </c>
      <c r="K211" s="15">
        <f>IFERROR(__xludf.DUMMYFUNCTION("""COMPUTED_VALUE"""),0.0)</f>
        <v>0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5">
        <f>IFERROR(__xludf.DUMMYFUNCTION("""COMPUTED_VALUE"""),0.0)</f>
        <v>0</v>
      </c>
      <c r="K212" s="15">
        <f>IFERROR(__xludf.DUMMYFUNCTION("""COMPUTED_VALUE"""),0.0)</f>
        <v>0</v>
      </c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5">
        <f>IFERROR(__xludf.DUMMYFUNCTION("""COMPUTED_VALUE"""),0.0)</f>
        <v>0</v>
      </c>
      <c r="K213" s="15">
        <f>IFERROR(__xludf.DUMMYFUNCTION("""COMPUTED_VALUE"""),0.0)</f>
        <v>0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5">
        <f>IFERROR(__xludf.DUMMYFUNCTION("""COMPUTED_VALUE"""),0.0)</f>
        <v>0</v>
      </c>
      <c r="K214" s="15">
        <f>IFERROR(__xludf.DUMMYFUNCTION("""COMPUTED_VALUE"""),0.0)</f>
        <v>0</v>
      </c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5">
        <f>IFERROR(__xludf.DUMMYFUNCTION("""COMPUTED_VALUE"""),0.0)</f>
        <v>0</v>
      </c>
      <c r="K215" s="15">
        <f>IFERROR(__xludf.DUMMYFUNCTION("""COMPUTED_VALUE"""),0.0)</f>
        <v>0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5">
        <f>IFERROR(__xludf.DUMMYFUNCTION("""COMPUTED_VALUE"""),0.0)</f>
        <v>0</v>
      </c>
      <c r="K216" s="15">
        <f>IFERROR(__xludf.DUMMYFUNCTION("""COMPUTED_VALUE"""),0.0)</f>
        <v>0</v>
      </c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5">
        <f>IFERROR(__xludf.DUMMYFUNCTION("""COMPUTED_VALUE"""),0.0)</f>
        <v>0</v>
      </c>
      <c r="K217" s="15">
        <f>IFERROR(__xludf.DUMMYFUNCTION("""COMPUTED_VALUE"""),0.0)</f>
        <v>0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5">
        <f>IFERROR(__xludf.DUMMYFUNCTION("""COMPUTED_VALUE"""),0.0)</f>
        <v>0</v>
      </c>
      <c r="K218" s="15">
        <f>IFERROR(__xludf.DUMMYFUNCTION("""COMPUTED_VALUE"""),0.0)</f>
        <v>0</v>
      </c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5">
        <f>IFERROR(__xludf.DUMMYFUNCTION("""COMPUTED_VALUE"""),0.0)</f>
        <v>0</v>
      </c>
      <c r="K219" s="15">
        <f>IFERROR(__xludf.DUMMYFUNCTION("""COMPUTED_VALUE"""),0.0)</f>
        <v>0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5">
        <f>IFERROR(__xludf.DUMMYFUNCTION("""COMPUTED_VALUE"""),0.0)</f>
        <v>0</v>
      </c>
      <c r="K220" s="15">
        <f>IFERROR(__xludf.DUMMYFUNCTION("""COMPUTED_VALUE"""),0.0)</f>
        <v>0</v>
      </c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5">
        <f>IFERROR(__xludf.DUMMYFUNCTION("""COMPUTED_VALUE"""),0.0)</f>
        <v>0</v>
      </c>
      <c r="K221" s="15">
        <f>IFERROR(__xludf.DUMMYFUNCTION("""COMPUTED_VALUE"""),0.0)</f>
        <v>0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5">
        <f>IFERROR(__xludf.DUMMYFUNCTION("""COMPUTED_VALUE"""),0.0)</f>
        <v>0</v>
      </c>
      <c r="K222" s="15">
        <f>IFERROR(__xludf.DUMMYFUNCTION("""COMPUTED_VALUE"""),0.0)</f>
        <v>0</v>
      </c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5">
        <f>IFERROR(__xludf.DUMMYFUNCTION("""COMPUTED_VALUE"""),0.0)</f>
        <v>0</v>
      </c>
      <c r="K223" s="15">
        <f>IFERROR(__xludf.DUMMYFUNCTION("""COMPUTED_VALUE"""),0.0)</f>
        <v>0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5">
        <f>IFERROR(__xludf.DUMMYFUNCTION("""COMPUTED_VALUE"""),0.0)</f>
        <v>0</v>
      </c>
      <c r="K224" s="15">
        <f>IFERROR(__xludf.DUMMYFUNCTION("""COMPUTED_VALUE"""),0.0)</f>
        <v>0</v>
      </c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5">
        <f>IFERROR(__xludf.DUMMYFUNCTION("""COMPUTED_VALUE"""),0.0)</f>
        <v>0</v>
      </c>
      <c r="K225" s="15">
        <f>IFERROR(__xludf.DUMMYFUNCTION("""COMPUTED_VALUE"""),0.0)</f>
        <v>0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5">
        <f>IFERROR(__xludf.DUMMYFUNCTION("""COMPUTED_VALUE"""),0.0)</f>
        <v>0</v>
      </c>
      <c r="K226" s="15">
        <f>IFERROR(__xludf.DUMMYFUNCTION("""COMPUTED_VALUE"""),0.0)</f>
        <v>0</v>
      </c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5">
        <f>IFERROR(__xludf.DUMMYFUNCTION("""COMPUTED_VALUE"""),0.0)</f>
        <v>0</v>
      </c>
      <c r="K227" s="15">
        <f>IFERROR(__xludf.DUMMYFUNCTION("""COMPUTED_VALUE"""),0.0)</f>
        <v>0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5">
        <f>IFERROR(__xludf.DUMMYFUNCTION("""COMPUTED_VALUE"""),0.0)</f>
        <v>0</v>
      </c>
      <c r="K228" s="15">
        <f>IFERROR(__xludf.DUMMYFUNCTION("""COMPUTED_VALUE"""),0.0)</f>
        <v>0</v>
      </c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5">
        <f>IFERROR(__xludf.DUMMYFUNCTION("""COMPUTED_VALUE"""),0.0)</f>
        <v>0</v>
      </c>
      <c r="K229" s="15">
        <f>IFERROR(__xludf.DUMMYFUNCTION("""COMPUTED_VALUE"""),0.0)</f>
        <v>0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5">
        <f>IFERROR(__xludf.DUMMYFUNCTION("""COMPUTED_VALUE"""),0.0)</f>
        <v>0</v>
      </c>
      <c r="K230" s="15">
        <f>IFERROR(__xludf.DUMMYFUNCTION("""COMPUTED_VALUE"""),0.0)</f>
        <v>0</v>
      </c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5">
        <f>IFERROR(__xludf.DUMMYFUNCTION("""COMPUTED_VALUE"""),0.0)</f>
        <v>0</v>
      </c>
      <c r="K231" s="15">
        <f>IFERROR(__xludf.DUMMYFUNCTION("""COMPUTED_VALUE"""),0.0)</f>
        <v>0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5">
        <f>IFERROR(__xludf.DUMMYFUNCTION("""COMPUTED_VALUE"""),0.0)</f>
        <v>0</v>
      </c>
      <c r="K232" s="15">
        <f>IFERROR(__xludf.DUMMYFUNCTION("""COMPUTED_VALUE"""),0.0)</f>
        <v>0</v>
      </c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5">
        <f>IFERROR(__xludf.DUMMYFUNCTION("""COMPUTED_VALUE"""),0.0)</f>
        <v>0</v>
      </c>
      <c r="K233" s="15">
        <f>IFERROR(__xludf.DUMMYFUNCTION("""COMPUTED_VALUE"""),0.0)</f>
        <v>0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5">
        <f>IFERROR(__xludf.DUMMYFUNCTION("""COMPUTED_VALUE"""),0.0)</f>
        <v>0</v>
      </c>
      <c r="K234" s="15">
        <f>IFERROR(__xludf.DUMMYFUNCTION("""COMPUTED_VALUE"""),0.0)</f>
        <v>0</v>
      </c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5">
        <f>IFERROR(__xludf.DUMMYFUNCTION("""COMPUTED_VALUE"""),0.0)</f>
        <v>0</v>
      </c>
      <c r="K235" s="15">
        <f>IFERROR(__xludf.DUMMYFUNCTION("""COMPUTED_VALUE"""),0.0)</f>
        <v>0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0"/>
    <col customWidth="1" min="9" max="9" width="14.0"/>
    <col customWidth="1" min="10" max="10" width="15.0"/>
    <col customWidth="1" min="11" max="11" width="16.25"/>
    <col customWidth="1" min="12" max="12" width="17.0"/>
  </cols>
  <sheetData>
    <row r="1">
      <c r="A1" s="28" t="str">
        <f>IFERROR(__xludf.DUMMYFUNCTION("IMPORTRANGE(""https://docs.google.com/spreadsheets/d/1eO365hmI2Nm9_YssKGka92teOkoRD0uzSnM0r31D7ek/edit?pli=1#gid=606377111"",""2025 Adam!A:J"")"),"Job #")</f>
        <v>Job #</v>
      </c>
      <c r="B1" s="28" t="str">
        <f>IFERROR(__xludf.DUMMYFUNCTION("""COMPUTED_VALUE"""),"Name")</f>
        <v>Name</v>
      </c>
      <c r="C1" s="28" t="str">
        <f>IFERROR(__xludf.DUMMYFUNCTION("""COMPUTED_VALUE"""),"Paid in Full")</f>
        <v>Paid in Full</v>
      </c>
      <c r="D1" s="28" t="str">
        <f>IFERROR(__xludf.DUMMYFUNCTION("""COMPUTED_VALUE"""),"GP %")</f>
        <v>GP %</v>
      </c>
      <c r="E1" s="28" t="str">
        <f>IFERROR(__xludf.DUMMYFUNCTION("""COMPUTED_VALUE"""),"Contract")</f>
        <v>Contract</v>
      </c>
      <c r="F1" s="28" t="str">
        <f>IFERROR(__xludf.DUMMYFUNCTION("""COMPUTED_VALUE"""),"Change Orders")</f>
        <v>Change Orders</v>
      </c>
      <c r="G1" s="28" t="str">
        <f>IFERROR(__xludf.DUMMYFUNCTION("""COMPUTED_VALUE"""),"Invoiced")</f>
        <v>Invoiced</v>
      </c>
      <c r="H1" s="28" t="str">
        <f>IFERROR(__xludf.DUMMYFUNCTION("""COMPUTED_VALUE"""),"Amount Paid")</f>
        <v>Amount Paid</v>
      </c>
      <c r="I1" s="29" t="str">
        <f>IFERROR(__xludf.DUMMYFUNCTION("""COMPUTED_VALUE"""),"Expected Commission")</f>
        <v>Expected Commission</v>
      </c>
      <c r="J1" s="29" t="str">
        <f>IFERROR(__xludf.DUMMYFUNCTION("""COMPUTED_VALUE"""),"Commission Paid")</f>
        <v>Commission Paid</v>
      </c>
      <c r="K1" s="28" t="s">
        <v>55</v>
      </c>
      <c r="L1" s="68" t="s">
        <v>148</v>
      </c>
    </row>
    <row r="2">
      <c r="A2" s="32">
        <f>IFERROR(__xludf.DUMMYFUNCTION("""COMPUTED_VALUE"""),2.0255002E7)</f>
        <v>20255002</v>
      </c>
      <c r="B2" s="32" t="str">
        <f>IFERROR(__xludf.DUMMYFUNCTION("""COMPUTED_VALUE"""),"Dennis Hong")</f>
        <v>Dennis Hong</v>
      </c>
      <c r="C2" s="32" t="b">
        <f>IFERROR(__xludf.DUMMYFUNCTION("""COMPUTED_VALUE"""),TRUE)</f>
        <v>1</v>
      </c>
      <c r="D2" s="33" t="str">
        <f>IFERROR(__xludf.DUMMYFUNCTION("""COMPUTED_VALUE"""),"")</f>
        <v/>
      </c>
      <c r="E2" s="34">
        <f>IFERROR(__xludf.DUMMYFUNCTION("""COMPUTED_VALUE"""),0.0)</f>
        <v>0</v>
      </c>
      <c r="F2" s="34">
        <f>IFERROR(__xludf.DUMMYFUNCTION("""COMPUTED_VALUE"""),0.0)</f>
        <v>0</v>
      </c>
      <c r="G2" s="34">
        <f>IFERROR(__xludf.DUMMYFUNCTION("""COMPUTED_VALUE"""),0.0)</f>
        <v>0</v>
      </c>
      <c r="H2" s="34">
        <f>IFERROR(__xludf.DUMMYFUNCTION("""COMPUTED_VALUE"""),0.0)</f>
        <v>0</v>
      </c>
      <c r="I2" s="34">
        <f>IFERROR(__xludf.DUMMYFUNCTION("""COMPUTED_VALUE"""),0.0)</f>
        <v>0</v>
      </c>
      <c r="J2" s="32"/>
      <c r="K2" s="37" t="b">
        <v>0</v>
      </c>
      <c r="L2" s="20" t="s">
        <v>156</v>
      </c>
    </row>
    <row r="3">
      <c r="A3" s="32">
        <f>IFERROR(__xludf.DUMMYFUNCTION("""COMPUTED_VALUE"""),2.0255006E7)</f>
        <v>20255006</v>
      </c>
      <c r="B3" s="32" t="str">
        <f>IFERROR(__xludf.DUMMYFUNCTION("""COMPUTED_VALUE"""),"Bill Bechtel")</f>
        <v>Bill Bechtel</v>
      </c>
      <c r="C3" s="32" t="b">
        <f>IFERROR(__xludf.DUMMYFUNCTION("""COMPUTED_VALUE"""),TRUE)</f>
        <v>1</v>
      </c>
      <c r="D3" s="39">
        <f>IFERROR(__xludf.DUMMYFUNCTION("""COMPUTED_VALUE"""),0.2567206480898192)</f>
        <v>0.2567206481</v>
      </c>
      <c r="E3" s="34">
        <f>IFERROR(__xludf.DUMMYFUNCTION("""COMPUTED_VALUE"""),169424.05)</f>
        <v>169424.05</v>
      </c>
      <c r="F3" s="34">
        <f>IFERROR(__xludf.DUMMYFUNCTION("""COMPUTED_VALUE"""),9637.549999999988)</f>
        <v>9637.55</v>
      </c>
      <c r="G3" s="34">
        <f>IFERROR(__xludf.DUMMYFUNCTION("""COMPUTED_VALUE"""),124535.04)</f>
        <v>124535.04</v>
      </c>
      <c r="H3" s="34">
        <f>IFERROR(__xludf.DUMMYFUNCTION("""COMPUTED_VALUE"""),179061.59999999998)</f>
        <v>179061.6</v>
      </c>
      <c r="I3" s="34">
        <f>IFERROR(__xludf.DUMMYFUNCTION("""COMPUTED_VALUE"""),8953.08)</f>
        <v>8953.08</v>
      </c>
      <c r="J3" s="32"/>
      <c r="K3" s="37" t="b">
        <v>0</v>
      </c>
      <c r="L3" s="69"/>
    </row>
    <row r="4">
      <c r="A4" s="32">
        <f>IFERROR(__xludf.DUMMYFUNCTION("""COMPUTED_VALUE"""),2.0255035E7)</f>
        <v>20255035</v>
      </c>
      <c r="B4" s="32" t="str">
        <f>IFERROR(__xludf.DUMMYFUNCTION("""COMPUTED_VALUE"""),"Dave Nelson")</f>
        <v>Dave Nelson</v>
      </c>
      <c r="C4" s="33" t="b">
        <f>IFERROR(__xludf.DUMMYFUNCTION("""COMPUTED_VALUE"""),TRUE)</f>
        <v>1</v>
      </c>
      <c r="D4" s="33">
        <f>IFERROR(__xludf.DUMMYFUNCTION("""COMPUTED_VALUE"""),0.4889937106918239)</f>
        <v>0.4889937107</v>
      </c>
      <c r="E4" s="34">
        <f>IFERROR(__xludf.DUMMYFUNCTION("""COMPUTED_VALUE"""),2544.0)</f>
        <v>2544</v>
      </c>
      <c r="F4" s="34">
        <f>IFERROR(__xludf.DUMMYFUNCTION("""COMPUTED_VALUE"""),0.0)</f>
        <v>0</v>
      </c>
      <c r="G4" s="34">
        <f>IFERROR(__xludf.DUMMYFUNCTION("""COMPUTED_VALUE"""),2544.0)</f>
        <v>2544</v>
      </c>
      <c r="H4" s="34">
        <f>IFERROR(__xludf.DUMMYFUNCTION("""COMPUTED_VALUE"""),2544.0)</f>
        <v>2544</v>
      </c>
      <c r="I4" s="34">
        <f>IFERROR(__xludf.DUMMYFUNCTION("""COMPUTED_VALUE"""),127.2)</f>
        <v>127.2</v>
      </c>
      <c r="J4" s="34">
        <f>IFERROR(__xludf.DUMMYFUNCTION("""COMPUTED_VALUE"""),525.0)</f>
        <v>525</v>
      </c>
      <c r="K4" s="37" t="b">
        <v>0</v>
      </c>
      <c r="L4" s="17"/>
    </row>
    <row r="5">
      <c r="A5" s="32">
        <f>IFERROR(__xludf.DUMMYFUNCTION("""COMPUTED_VALUE"""),2.0255036E7)</f>
        <v>20255036</v>
      </c>
      <c r="B5" s="32" t="str">
        <f>IFERROR(__xludf.DUMMYFUNCTION("""COMPUTED_VALUE"""),"Dave Nelson")</f>
        <v>Dave Nelson</v>
      </c>
      <c r="C5" s="33" t="b">
        <f>IFERROR(__xludf.DUMMYFUNCTION("""COMPUTED_VALUE"""),TRUE)</f>
        <v>1</v>
      </c>
      <c r="D5" s="33">
        <f>IFERROR(__xludf.DUMMYFUNCTION("""COMPUTED_VALUE"""),0.4969512195121951)</f>
        <v>0.4969512195</v>
      </c>
      <c r="E5" s="34">
        <f>IFERROR(__xludf.DUMMYFUNCTION("""COMPUTED_VALUE"""),1640.0)</f>
        <v>1640</v>
      </c>
      <c r="F5" s="34">
        <f>IFERROR(__xludf.DUMMYFUNCTION("""COMPUTED_VALUE"""),0.0)</f>
        <v>0</v>
      </c>
      <c r="G5" s="34">
        <f>IFERROR(__xludf.DUMMYFUNCTION("""COMPUTED_VALUE"""),1640.0)</f>
        <v>1640</v>
      </c>
      <c r="H5" s="34">
        <f>IFERROR(__xludf.DUMMYFUNCTION("""COMPUTED_VALUE"""),1640.0)</f>
        <v>1640</v>
      </c>
      <c r="I5" s="34">
        <f>IFERROR(__xludf.DUMMYFUNCTION("""COMPUTED_VALUE"""),82.0)</f>
        <v>82</v>
      </c>
      <c r="J5" s="34">
        <f>IFERROR(__xludf.DUMMYFUNCTION("""COMPUTED_VALUE"""),82.0)</f>
        <v>82</v>
      </c>
      <c r="K5" s="37" t="b">
        <v>0</v>
      </c>
      <c r="L5" s="17"/>
    </row>
    <row r="6">
      <c r="A6" s="32">
        <f>IFERROR(__xludf.DUMMYFUNCTION("""COMPUTED_VALUE"""),2.025505E7)</f>
        <v>20255050</v>
      </c>
      <c r="B6" s="32" t="str">
        <f>IFERROR(__xludf.DUMMYFUNCTION("""COMPUTED_VALUE"""),"Kelly Thakkar")</f>
        <v>Kelly Thakkar</v>
      </c>
      <c r="C6" s="32" t="b">
        <f>IFERROR(__xludf.DUMMYFUNCTION("""COMPUTED_VALUE"""),TRUE)</f>
        <v>1</v>
      </c>
      <c r="D6" s="33">
        <f>IFERROR(__xludf.DUMMYFUNCTION("""COMPUTED_VALUE"""),0.387856126982727)</f>
        <v>0.387856127</v>
      </c>
      <c r="E6" s="34">
        <f>IFERROR(__xludf.DUMMYFUNCTION("""COMPUTED_VALUE"""),6349.21)</f>
        <v>6349.21</v>
      </c>
      <c r="F6" s="34">
        <f>IFERROR(__xludf.DUMMYFUNCTION("""COMPUTED_VALUE"""),0.0)</f>
        <v>0</v>
      </c>
      <c r="G6" s="34">
        <f>IFERROR(__xludf.DUMMYFUNCTION("""COMPUTED_VALUE"""),6349.21)</f>
        <v>6349.21</v>
      </c>
      <c r="H6" s="34">
        <f>IFERROR(__xludf.DUMMYFUNCTION("""COMPUTED_VALUE"""),6349.21)</f>
        <v>6349.21</v>
      </c>
      <c r="I6" s="34">
        <f>IFERROR(__xludf.DUMMYFUNCTION("""COMPUTED_VALUE"""),317.4605)</f>
        <v>317.4605</v>
      </c>
      <c r="J6" s="34">
        <f>IFERROR(__xludf.DUMMYFUNCTION("""COMPUTED_VALUE"""),317.4605)</f>
        <v>317.4605</v>
      </c>
      <c r="K6" s="37" t="b">
        <v>0</v>
      </c>
      <c r="L6" s="17"/>
    </row>
    <row r="7">
      <c r="A7" s="32">
        <f>IFERROR(__xludf.DUMMYFUNCTION("""COMPUTED_VALUE"""),2.0255076E7)</f>
        <v>20255076</v>
      </c>
      <c r="B7" s="32" t="str">
        <f>IFERROR(__xludf.DUMMYFUNCTION("""COMPUTED_VALUE"""),"Susan Gayle")</f>
        <v>Susan Gayle</v>
      </c>
      <c r="C7" s="32" t="b">
        <f>IFERROR(__xludf.DUMMYFUNCTION("""COMPUTED_VALUE"""),TRUE)</f>
        <v>1</v>
      </c>
      <c r="D7" s="33">
        <f>IFERROR(__xludf.DUMMYFUNCTION("""COMPUTED_VALUE"""),0.3883190306914335)</f>
        <v>0.3883190307</v>
      </c>
      <c r="E7" s="34">
        <f>IFERROR(__xludf.DUMMYFUNCTION("""COMPUTED_VALUE"""),23722.25)</f>
        <v>23722.25</v>
      </c>
      <c r="F7" s="34">
        <f>IFERROR(__xludf.DUMMYFUNCTION("""COMPUTED_VALUE"""),1244.0)</f>
        <v>1244</v>
      </c>
      <c r="G7" s="34">
        <f>IFERROR(__xludf.DUMMYFUNCTION("""COMPUTED_VALUE"""),24966.25)</f>
        <v>24966.25</v>
      </c>
      <c r="H7" s="34">
        <f>IFERROR(__xludf.DUMMYFUNCTION("""COMPUTED_VALUE"""),24966.25)</f>
        <v>24966.25</v>
      </c>
      <c r="I7" s="34">
        <f>IFERROR(__xludf.DUMMYFUNCTION("""COMPUTED_VALUE"""),1248.3125)</f>
        <v>1248.3125</v>
      </c>
      <c r="J7" s="34">
        <f>IFERROR(__xludf.DUMMYFUNCTION("""COMPUTED_VALUE"""),1248.3125)</f>
        <v>1248.3125</v>
      </c>
      <c r="K7" s="37" t="b">
        <v>0</v>
      </c>
      <c r="L7" s="17"/>
    </row>
    <row r="8">
      <c r="A8" s="32">
        <f>IFERROR(__xludf.DUMMYFUNCTION("""COMPUTED_VALUE"""),2.0255149E7)</f>
        <v>20255149</v>
      </c>
      <c r="B8" s="32" t="str">
        <f>IFERROR(__xludf.DUMMYFUNCTION("""COMPUTED_VALUE"""),"Susan Gayle")</f>
        <v>Susan Gayle</v>
      </c>
      <c r="C8" s="32" t="b">
        <f>IFERROR(__xludf.DUMMYFUNCTION("""COMPUTED_VALUE"""),TRUE)</f>
        <v>1</v>
      </c>
      <c r="D8" s="33">
        <f>IFERROR(__xludf.DUMMYFUNCTION("""COMPUTED_VALUE"""),0.5758422215026846)</f>
        <v>0.5758422215</v>
      </c>
      <c r="E8" s="34">
        <f>IFERROR(__xludf.DUMMYFUNCTION("""COMPUTED_VALUE"""),2069.23)</f>
        <v>2069.23</v>
      </c>
      <c r="F8" s="34">
        <f>IFERROR(__xludf.DUMMYFUNCTION("""COMPUTED_VALUE"""),0.0)</f>
        <v>0</v>
      </c>
      <c r="G8" s="34">
        <f>IFERROR(__xludf.DUMMYFUNCTION("""COMPUTED_VALUE"""),2069.23)</f>
        <v>2069.23</v>
      </c>
      <c r="H8" s="34">
        <f>IFERROR(__xludf.DUMMYFUNCTION("""COMPUTED_VALUE"""),2069.23)</f>
        <v>2069.23</v>
      </c>
      <c r="I8" s="34">
        <f>IFERROR(__xludf.DUMMYFUNCTION("""COMPUTED_VALUE"""),103.4615)</f>
        <v>103.4615</v>
      </c>
      <c r="J8" s="34">
        <f>IFERROR(__xludf.DUMMYFUNCTION("""COMPUTED_VALUE"""),1248.3125)</f>
        <v>1248.3125</v>
      </c>
      <c r="K8" s="37" t="b">
        <v>0</v>
      </c>
      <c r="L8" s="17"/>
    </row>
    <row r="9">
      <c r="A9" s="32">
        <f>IFERROR(__xludf.DUMMYFUNCTION("""COMPUTED_VALUE"""),2.0255229E7)</f>
        <v>20255229</v>
      </c>
      <c r="B9" s="32" t="str">
        <f>IFERROR(__xludf.DUMMYFUNCTION("""COMPUTED_VALUE"""),"Mary Mastronicola")</f>
        <v>Mary Mastronicola</v>
      </c>
      <c r="C9" s="32" t="b">
        <f>IFERROR(__xludf.DUMMYFUNCTION("""COMPUTED_VALUE"""),TRUE)</f>
        <v>1</v>
      </c>
      <c r="D9" s="33">
        <f>IFERROR(__xludf.DUMMYFUNCTION("""COMPUTED_VALUE"""),0.9999583333333334)</f>
        <v>0.9999583333</v>
      </c>
      <c r="E9" s="34">
        <f>IFERROR(__xludf.DUMMYFUNCTION("""COMPUTED_VALUE"""),240.0)</f>
        <v>240</v>
      </c>
      <c r="F9" s="34">
        <f>IFERROR(__xludf.DUMMYFUNCTION("""COMPUTED_VALUE"""),0.0)</f>
        <v>0</v>
      </c>
      <c r="G9" s="34">
        <f>IFERROR(__xludf.DUMMYFUNCTION("""COMPUTED_VALUE"""),240.0)</f>
        <v>240</v>
      </c>
      <c r="H9" s="34">
        <f>IFERROR(__xludf.DUMMYFUNCTION("""COMPUTED_VALUE"""),240.0)</f>
        <v>240</v>
      </c>
      <c r="I9" s="34">
        <f>IFERROR(__xludf.DUMMYFUNCTION("""COMPUTED_VALUE"""),12.0)</f>
        <v>12</v>
      </c>
      <c r="J9" s="32"/>
      <c r="K9" s="32" t="b">
        <v>0</v>
      </c>
      <c r="L9" s="17"/>
    </row>
    <row r="10">
      <c r="A10" s="41" t="str">
        <f>IFERROR(__xludf.DUMMYFUNCTION("""COMPUTED_VALUE"""),"Grand Total")</f>
        <v>Grand Total</v>
      </c>
      <c r="B10" s="41"/>
      <c r="C10" s="41"/>
      <c r="D10" s="41"/>
      <c r="E10" s="43">
        <f>IFERROR(__xludf.DUMMYFUNCTION("""COMPUTED_VALUE"""),205988.74)</f>
        <v>205988.74</v>
      </c>
      <c r="F10" s="43">
        <f>IFERROR(__xludf.DUMMYFUNCTION("""COMPUTED_VALUE"""),10881.549999999988)</f>
        <v>10881.55</v>
      </c>
      <c r="G10" s="43">
        <f>IFERROR(__xludf.DUMMYFUNCTION("""COMPUTED_VALUE"""),162343.73)</f>
        <v>162343.73</v>
      </c>
      <c r="H10" s="43">
        <f>IFERROR(__xludf.DUMMYFUNCTION("""COMPUTED_VALUE"""),216870.28999999998)</f>
        <v>216870.29</v>
      </c>
      <c r="I10" s="43">
        <f>IFERROR(__xludf.DUMMYFUNCTION("""COMPUTED_VALUE"""),10843.5145)</f>
        <v>10843.5145</v>
      </c>
      <c r="J10" s="41"/>
      <c r="K10" s="41" t="b">
        <v>0</v>
      </c>
      <c r="L10" s="57"/>
    </row>
    <row r="11">
      <c r="A11" s="28"/>
      <c r="B11" s="28"/>
      <c r="C11" s="28"/>
      <c r="D11" s="41"/>
      <c r="E11" s="28"/>
      <c r="F11" s="28"/>
      <c r="G11" s="28"/>
      <c r="H11" s="28"/>
      <c r="I11" s="28"/>
      <c r="J11" s="28"/>
      <c r="K11" s="28" t="b">
        <v>0</v>
      </c>
      <c r="L11" s="57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 t="b">
        <v>0</v>
      </c>
      <c r="L12" s="57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 t="b">
        <v>0</v>
      </c>
      <c r="L13" s="57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 t="b">
        <v>0</v>
      </c>
      <c r="L14" s="57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 t="b">
        <v>0</v>
      </c>
      <c r="L15" s="57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 t="b">
        <v>0</v>
      </c>
      <c r="L16" s="57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 t="b">
        <v>0</v>
      </c>
      <c r="L17" s="57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 t="b">
        <v>0</v>
      </c>
      <c r="L18" s="57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 t="b">
        <v>0</v>
      </c>
      <c r="L19" s="57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 t="b">
        <v>0</v>
      </c>
      <c r="L20" s="57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 t="b">
        <v>0</v>
      </c>
      <c r="L21" s="57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 t="b">
        <v>0</v>
      </c>
      <c r="L22" s="57"/>
    </row>
    <row r="23">
      <c r="A23" s="28"/>
      <c r="B23" s="28"/>
      <c r="C23" s="28"/>
      <c r="D23" s="41"/>
      <c r="E23" s="28"/>
      <c r="F23" s="28"/>
      <c r="G23" s="28"/>
      <c r="H23" s="28"/>
      <c r="I23" s="28"/>
      <c r="J23" s="28"/>
      <c r="K23" s="28" t="b">
        <v>0</v>
      </c>
      <c r="L23" s="57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 t="b">
        <v>0</v>
      </c>
      <c r="L24" s="57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 t="b">
        <v>0</v>
      </c>
      <c r="L25" s="57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 t="b">
        <v>0</v>
      </c>
      <c r="L26" s="57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 t="b">
        <v>0</v>
      </c>
      <c r="L27" s="57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 t="b">
        <v>0</v>
      </c>
      <c r="L28" s="57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 t="b">
        <v>0</v>
      </c>
      <c r="L29" s="57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 t="b">
        <v>0</v>
      </c>
      <c r="L30" s="57"/>
    </row>
    <row r="31">
      <c r="A31" s="28"/>
      <c r="B31" s="28"/>
      <c r="C31" s="28"/>
      <c r="D31" s="41"/>
      <c r="E31" s="28"/>
      <c r="F31" s="28"/>
      <c r="G31" s="28"/>
      <c r="H31" s="28"/>
      <c r="I31" s="28"/>
      <c r="J31" s="28"/>
      <c r="K31" s="28" t="b">
        <v>0</v>
      </c>
      <c r="L31" s="57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 t="b">
        <v>0</v>
      </c>
      <c r="L32" s="57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 t="b">
        <v>0</v>
      </c>
      <c r="L33" s="57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 t="b">
        <v>0</v>
      </c>
      <c r="L34" s="57"/>
    </row>
    <row r="35">
      <c r="A35" s="28"/>
      <c r="B35" s="28"/>
      <c r="C35" s="28"/>
      <c r="D35" s="41"/>
      <c r="E35" s="28"/>
      <c r="F35" s="28"/>
      <c r="G35" s="28"/>
      <c r="H35" s="28"/>
      <c r="I35" s="28"/>
      <c r="J35" s="28"/>
      <c r="K35" s="28" t="b">
        <v>0</v>
      </c>
      <c r="L35" s="57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 t="b">
        <v>0</v>
      </c>
      <c r="L36" s="57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 t="b">
        <v>0</v>
      </c>
      <c r="L37" s="57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 t="b">
        <v>0</v>
      </c>
      <c r="L38" s="57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 t="b">
        <v>0</v>
      </c>
      <c r="L39" s="57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 t="b">
        <v>0</v>
      </c>
      <c r="L40" s="57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 t="b">
        <v>0</v>
      </c>
      <c r="L41" s="57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 t="b">
        <v>0</v>
      </c>
      <c r="L42" s="57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 t="b">
        <v>0</v>
      </c>
      <c r="L43" s="57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 t="b">
        <v>0</v>
      </c>
      <c r="L44" s="57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 t="b">
        <v>0</v>
      </c>
      <c r="L45" s="5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 t="b">
        <v>0</v>
      </c>
      <c r="L46" s="57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 t="b">
        <v>0</v>
      </c>
      <c r="L47" s="57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 t="b">
        <v>0</v>
      </c>
      <c r="L48" s="57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 t="b">
        <v>0</v>
      </c>
      <c r="L49" s="57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 t="b">
        <v>0</v>
      </c>
      <c r="L50" s="57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 t="b">
        <v>0</v>
      </c>
      <c r="L51" s="57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 t="b">
        <v>0</v>
      </c>
      <c r="L52" s="57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 t="b">
        <v>0</v>
      </c>
      <c r="L53" s="57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 t="b">
        <v>0</v>
      </c>
      <c r="L54" s="57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 t="b">
        <v>0</v>
      </c>
      <c r="L55" s="57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 t="b">
        <v>0</v>
      </c>
      <c r="L56" s="57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 t="b">
        <v>0</v>
      </c>
      <c r="L57" s="57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 t="b">
        <v>0</v>
      </c>
      <c r="L58" s="57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 t="b">
        <v>0</v>
      </c>
      <c r="L59" s="57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 t="b">
        <v>0</v>
      </c>
      <c r="L60" s="57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 t="b">
        <v>0</v>
      </c>
      <c r="L61" s="57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 t="b">
        <v>0</v>
      </c>
      <c r="L62" s="57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 t="b">
        <v>0</v>
      </c>
      <c r="L63" s="57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 t="b">
        <v>0</v>
      </c>
      <c r="L64" s="57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 t="b">
        <v>0</v>
      </c>
      <c r="L65" s="57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 t="b">
        <v>0</v>
      </c>
      <c r="L66" s="57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 t="b">
        <v>0</v>
      </c>
      <c r="L67" s="57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 t="b">
        <v>0</v>
      </c>
      <c r="L68" s="57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 t="b">
        <v>0</v>
      </c>
      <c r="L69" s="57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 t="b">
        <v>0</v>
      </c>
      <c r="L70" s="57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 t="b">
        <v>0</v>
      </c>
      <c r="L71" s="57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 t="b">
        <v>0</v>
      </c>
      <c r="L72" s="57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 t="b">
        <v>0</v>
      </c>
      <c r="L73" s="57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 t="b">
        <v>0</v>
      </c>
      <c r="L74" s="57"/>
    </row>
    <row r="75">
      <c r="A75" s="28"/>
      <c r="B75" s="28"/>
      <c r="C75" s="28"/>
      <c r="D75" s="41"/>
      <c r="E75" s="28"/>
      <c r="F75" s="28"/>
      <c r="G75" s="28"/>
      <c r="H75" s="28"/>
      <c r="I75" s="28"/>
      <c r="J75" s="28"/>
      <c r="K75" s="28" t="b">
        <v>0</v>
      </c>
      <c r="L75" s="57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 t="b">
        <v>0</v>
      </c>
      <c r="L76" s="57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 t="b">
        <v>0</v>
      </c>
      <c r="L77" s="57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 t="b">
        <v>0</v>
      </c>
      <c r="L78" s="57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 t="b">
        <v>0</v>
      </c>
      <c r="L79" s="57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 t="b">
        <v>0</v>
      </c>
      <c r="L80" s="57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 t="b">
        <v>0</v>
      </c>
      <c r="L81" s="57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 t="b">
        <v>0</v>
      </c>
      <c r="L82" s="57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 t="b">
        <v>0</v>
      </c>
      <c r="L83" s="57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 t="b">
        <v>0</v>
      </c>
      <c r="L84" s="57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 t="b">
        <v>0</v>
      </c>
      <c r="L85" s="57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 t="b">
        <v>0</v>
      </c>
      <c r="L86" s="57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 t="b">
        <v>0</v>
      </c>
      <c r="L87" s="57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 t="b">
        <v>0</v>
      </c>
      <c r="L88" s="57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 t="b">
        <v>0</v>
      </c>
      <c r="L89" s="57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 t="b">
        <v>0</v>
      </c>
      <c r="L90" s="57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 t="b">
        <v>0</v>
      </c>
      <c r="L91" s="57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 t="b">
        <v>0</v>
      </c>
      <c r="L92" s="57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 t="b">
        <v>0</v>
      </c>
      <c r="L93" s="57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 t="b">
        <v>0</v>
      </c>
      <c r="L94" s="57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 t="b">
        <v>0</v>
      </c>
      <c r="L95" s="57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 t="b">
        <v>0</v>
      </c>
      <c r="L96" s="57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 t="b">
        <v>0</v>
      </c>
      <c r="L97" s="57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 t="b">
        <v>0</v>
      </c>
      <c r="L98" s="57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 t="b">
        <v>0</v>
      </c>
      <c r="L99" s="57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 t="b">
        <v>0</v>
      </c>
      <c r="L100" s="57"/>
    </row>
    <row r="101">
      <c r="A101" s="57"/>
      <c r="B101" s="57"/>
      <c r="C101" s="57"/>
      <c r="D101" s="70"/>
      <c r="E101" s="57"/>
      <c r="F101" s="57"/>
      <c r="G101" s="57"/>
      <c r="H101" s="57"/>
      <c r="I101" s="57"/>
      <c r="J101" s="57"/>
      <c r="K101" s="57"/>
      <c r="L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</row>
    <row r="127">
      <c r="A127" s="57"/>
      <c r="B127" s="57"/>
      <c r="C127" s="57"/>
      <c r="D127" s="70"/>
      <c r="E127" s="57"/>
      <c r="F127" s="57"/>
      <c r="G127" s="57"/>
      <c r="H127" s="57"/>
      <c r="I127" s="57"/>
      <c r="J127" s="57"/>
      <c r="K127" s="57"/>
      <c r="L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>
      <c r="A129" s="57"/>
      <c r="B129" s="57"/>
      <c r="C129" s="57"/>
      <c r="D129" s="70"/>
      <c r="E129" s="57"/>
      <c r="F129" s="57"/>
      <c r="G129" s="57"/>
      <c r="H129" s="57"/>
      <c r="I129" s="57"/>
      <c r="J129" s="57"/>
      <c r="K129" s="57"/>
      <c r="L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</row>
    <row r="149">
      <c r="A149" s="57"/>
      <c r="B149" s="57"/>
      <c r="C149" s="57"/>
      <c r="D149" s="70"/>
      <c r="E149" s="57"/>
      <c r="F149" s="57"/>
      <c r="G149" s="57"/>
      <c r="H149" s="57"/>
      <c r="I149" s="57"/>
      <c r="J149" s="57"/>
      <c r="K149" s="57"/>
      <c r="L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</row>
    <row r="152">
      <c r="A152" s="57"/>
      <c r="B152" s="57"/>
      <c r="C152" s="57"/>
      <c r="D152" s="70"/>
      <c r="E152" s="57"/>
      <c r="F152" s="57"/>
      <c r="G152" s="57"/>
      <c r="H152" s="57"/>
      <c r="I152" s="57"/>
      <c r="J152" s="57"/>
      <c r="K152" s="57"/>
      <c r="L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</row>
  </sheetData>
  <drawing r:id="rId1"/>
  <tableParts count="1">
    <tablePart r:id="rId3"/>
  </tableParts>
</worksheet>
</file>